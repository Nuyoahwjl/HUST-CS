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<sst xmlns="http://schemas.openxmlformats.org/spreadsheetml/2006/main" count="151" uniqueCount="122">
  <si>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</si>
  <si>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</si>
  <si>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</si>
  <si>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</si>
  <si>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</si>
  <si>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</si>
  <si>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</si>
  <si>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</si>
  <si>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</si>
  <si>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</si>
  <si>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</si>
  <si>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</si>
  <si>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</si>
  <si>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</si>
  <si>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</si>
  <si>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</si>
  <si>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</si>
  <si>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</si>
  <si>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</si>
  <si>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</si>
  <si>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</si>
  <si>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</si>
  <si>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</si>
  <si>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</si>
  <si>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</si>
  <si>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</si>
  <si>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</si>
  <si>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</si>
  <si>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</si>
  <si>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</si>
  <si>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SLL</t>
  </si>
  <si>
    <t>XOR</t>
  </si>
  <si>
    <t>LB</t>
  </si>
  <si>
    <t>BLTU</t>
  </si>
  <si>
    <t>CSRRSI</t>
  </si>
  <si>
    <t>CSRRCI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</si>
  <si>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</si>
  <si>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</si>
  <si>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</si>
  <si>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</si>
  <si>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</si>
  <si>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</si>
  <si>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</si>
  <si>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</si>
  <si>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</si>
  <si>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</si>
  <si>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</si>
  <si>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</si>
  <si>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</si>
  <si>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</si>
  <si>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</si>
  <si>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</si>
  <si>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</si>
  <si>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</si>
  <si>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</si>
  <si>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</si>
  <si>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</si>
  <si>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</si>
  <si>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</si>
  <si>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</si>
  <si>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1c</t>
  </si>
  <si>
    <t>URET</t>
  </si>
  <si>
    <t/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</si>
  <si>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</si>
  <si>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</si>
  <si>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</si>
  <si>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</si>
  <si>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</si>
  <si>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</si>
  <si>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</si>
  <si>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</si>
  <si>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</si>
  <si>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</si>
  <si>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</si>
  <si>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</si>
  <si>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</si>
  <si>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</si>
  <si>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</si>
  <si>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</si>
  <si>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</si>
  <si>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</si>
  <si>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</si>
  <si>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</si>
  <si>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</si>
  <si>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</si>
  <si>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</si>
  <si>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</si>
  <si>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</si>
  <si>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</si>
  <si>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</si>
  <si>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</si>
  <si>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</si>
  <si>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</si>
  <si>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</si>
  <si>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</si>
  <si>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</si>
  <si>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</si>
  <si>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</si>
  <si>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</si>
  <si>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</si>
  <si>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</si>
  <si>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</si>
  <si>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</si>
  <si>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</si>
  <si>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</si>
  <si>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</si>
  <si>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</si>
  <si>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</si>
  <si>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</si>
  <si>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</si>
  <si>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</si>
  <si>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</si>
  <si>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</si>
  <si>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</si>
  <si>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</si>
  <si>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</si>
  <si>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</si>
  <si>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</si>
  <si>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</si>
  <si>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</si>
  <si>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</si>
  <si>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 xml:space="preserve"> 根据a7寄存器的值，决定是停机还是输出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</si>
</sst>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  <font>
      <vertAlign val="subscript"/>
      <sz val="11"/>
      <color rgb="FF000000"/>
      <name val="Times New Roman"/>
      <charset val="134"/>
    </font>
    <font>
      <b/>
      <sz val="8"/>
      <name val="宋体"/>
      <charset val="134"/>
    </font>
    <font>
      <b/>
      <sz val="10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480560" y="7861935"/>
          <a:ext cx="985520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workbookViewId="0">
      <selection activeCell="AI1" sqref="AI1"/>
    </sheetView>
  </sheetViews>
  <sheetFormatPr defaultColWidth="9" defaultRowHeight="16.5"/>
  <cols>
    <col min="1" max="1" width="3.83185840707965" customWidth="1"/>
    <col min="2" max="2" width="8.58407079646018" style="18" customWidth="1"/>
    <col min="3" max="4" width="10.5840707964602" style="49" customWidth="1"/>
    <col min="5" max="5" width="11.2477876106195" style="49" customWidth="1"/>
    <col min="6" max="15" width="4.58407079646018" style="49" hidden="1" customWidth="1"/>
    <col min="16" max="16" width="8.83185840707965" style="49" customWidth="1"/>
    <col min="17" max="20" width="3.58407079646018" style="49" hidden="1" customWidth="1"/>
    <col min="21" max="21" width="10.2477876106195" style="49" customWidth="1"/>
    <col min="22" max="22" width="9.24778761061947" style="49" customWidth="1"/>
    <col min="23" max="23" width="10.5840707964602" style="49" customWidth="1"/>
    <col min="24" max="24" width="9.50442477876106" style="49" customWidth="1"/>
    <col min="25" max="26" width="9.24778761061947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8.15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36</v>
      </c>
      <c r="AM1" s="47" t="s">
        <v>36</v>
      </c>
      <c r="AN1" s="17" t="s">
        <v>37</v>
      </c>
    </row>
    <row r="2" spans="1:39">
      <c r="A2" s="56">
        <v>1</v>
      </c>
      <c r="B2" s="23" t="s">
        <v>38</v>
      </c>
      <c r="C2" s="24">
        <v>0</v>
      </c>
      <c r="D2" s="24">
        <v>0</v>
      </c>
      <c r="E2" s="57" t="s">
        <v>39</v>
      </c>
      <c r="F2" s="58">
        <f>IF(ISNUMBER($C2),IF(MOD($C2,64)/32&gt;=1,1,0),"")</f>
        <v>0</v>
      </c>
      <c r="G2" s="58">
        <f>IF(ISNUMBER($C2),IF(MOD($C2,2)&gt;=1,1,0),"")</f>
        <v>0</v>
      </c>
      <c r="H2" s="58">
        <f t="shared" ref="H2:H35" si="0">IF(ISNUMBER($D2),IF(MOD($D2,8)/4&gt;=1,1,0),"")</f>
        <v>0</v>
      </c>
      <c r="I2" s="58">
        <f t="shared" ref="I2:I35" si="1">IF(ISNUMBER($D2),IF(MOD($D2,4)/2&gt;=1,1,0),"")</f>
        <v>0</v>
      </c>
      <c r="J2" s="57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5">
        <f t="shared" ref="O2:O35" si="7">IF(ISBLANK($E2),"",IF(MOD(HEX2DEC($E2),2)&gt;=1,1,0))</f>
        <v>0</v>
      </c>
      <c r="P2" s="66">
        <v>5</v>
      </c>
      <c r="Q2" s="71">
        <f t="shared" ref="Q2:Q35" si="8">IF(ISNUMBER($P2),IF(MOD($P2,16)/8&gt;=1,1,0),"X")</f>
        <v>0</v>
      </c>
      <c r="R2" s="71">
        <f t="shared" ref="R2:R35" si="9">IF(ISNUMBER($P2),IF(MOD($P2,8)/4&gt;=1,1,0),"X")</f>
        <v>1</v>
      </c>
      <c r="S2" s="71">
        <f t="shared" ref="S2:S35" si="10">IF(ISNUMBER($P2),IF(MOD($P2,4)/2&gt;=1,1,0),"X")</f>
        <v>0</v>
      </c>
      <c r="T2" s="71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/>
      <c r="AI2" s="25"/>
      <c r="AJ2" s="25"/>
      <c r="AK2" s="25"/>
      <c r="AL2" s="25"/>
      <c r="AM2" s="25"/>
    </row>
    <row r="3" spans="1:39">
      <c r="A3" s="59">
        <v>2</v>
      </c>
      <c r="B3" s="59" t="s">
        <v>40</v>
      </c>
      <c r="C3" s="60">
        <v>32</v>
      </c>
      <c r="D3" s="61">
        <v>0</v>
      </c>
      <c r="E3" s="62" t="s">
        <v>39</v>
      </c>
      <c r="F3" s="61">
        <f t="shared" ref="F3:F61" si="12">IF(ISNUMBER($C3),IF(MOD($C3,64)/32&gt;=1,1,0),"")</f>
        <v>1</v>
      </c>
      <c r="G3" s="61">
        <f t="shared" ref="G3:G61" si="13">IF(ISNUMBER($C3),IF(MOD($C3,2)&gt;=1,1,0),"")</f>
        <v>0</v>
      </c>
      <c r="H3" s="61">
        <f t="shared" si="0"/>
        <v>0</v>
      </c>
      <c r="I3" s="61">
        <f t="shared" si="1"/>
        <v>0</v>
      </c>
      <c r="J3" s="62">
        <f t="shared" si="2"/>
        <v>0</v>
      </c>
      <c r="K3" s="67">
        <f t="shared" si="3"/>
        <v>0</v>
      </c>
      <c r="L3" s="67">
        <f t="shared" si="4"/>
        <v>1</v>
      </c>
      <c r="M3" s="67">
        <f t="shared" si="5"/>
        <v>1</v>
      </c>
      <c r="N3" s="67">
        <f t="shared" si="6"/>
        <v>0</v>
      </c>
      <c r="O3" s="68">
        <f t="shared" si="7"/>
        <v>0</v>
      </c>
      <c r="P3" s="69">
        <v>6</v>
      </c>
      <c r="Q3" s="72">
        <f t="shared" si="8"/>
        <v>0</v>
      </c>
      <c r="R3" s="72">
        <f t="shared" si="9"/>
        <v>1</v>
      </c>
      <c r="S3" s="72">
        <f t="shared" si="10"/>
        <v>1</v>
      </c>
      <c r="T3" s="72">
        <f t="shared" si="11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/>
      <c r="AI3" s="73"/>
      <c r="AJ3" s="73"/>
      <c r="AK3" s="73"/>
      <c r="AL3" s="73"/>
      <c r="AM3" s="73"/>
    </row>
    <row r="4" spans="1:39">
      <c r="A4" s="56">
        <v>3</v>
      </c>
      <c r="B4" s="23" t="s">
        <v>41</v>
      </c>
      <c r="C4" s="24">
        <v>0</v>
      </c>
      <c r="D4" s="24">
        <v>7</v>
      </c>
      <c r="E4" s="57" t="s">
        <v>39</v>
      </c>
      <c r="F4" s="58">
        <f t="shared" si="12"/>
        <v>0</v>
      </c>
      <c r="G4" s="58">
        <f t="shared" si="13"/>
        <v>0</v>
      </c>
      <c r="H4" s="58">
        <f t="shared" si="0"/>
        <v>1</v>
      </c>
      <c r="I4" s="58">
        <f t="shared" si="1"/>
        <v>1</v>
      </c>
      <c r="J4" s="57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5">
        <f t="shared" si="7"/>
        <v>0</v>
      </c>
      <c r="P4" s="66">
        <v>7</v>
      </c>
      <c r="Q4" s="71">
        <f t="shared" si="8"/>
        <v>0</v>
      </c>
      <c r="R4" s="71">
        <f t="shared" si="9"/>
        <v>1</v>
      </c>
      <c r="S4" s="71">
        <f t="shared" si="10"/>
        <v>1</v>
      </c>
      <c r="T4" s="71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/>
      <c r="AI4" s="25"/>
      <c r="AJ4" s="25"/>
      <c r="AK4" s="25"/>
      <c r="AL4" s="25"/>
      <c r="AM4" s="25"/>
    </row>
    <row r="5" spans="1:39">
      <c r="A5" s="59">
        <v>4</v>
      </c>
      <c r="B5" s="59" t="s">
        <v>42</v>
      </c>
      <c r="C5" s="60">
        <v>0</v>
      </c>
      <c r="D5" s="61">
        <v>6</v>
      </c>
      <c r="E5" s="62" t="s">
        <v>39</v>
      </c>
      <c r="F5" s="61">
        <f t="shared" si="12"/>
        <v>0</v>
      </c>
      <c r="G5" s="61">
        <f t="shared" si="13"/>
        <v>0</v>
      </c>
      <c r="H5" s="61">
        <f t="shared" si="0"/>
        <v>1</v>
      </c>
      <c r="I5" s="61">
        <f t="shared" si="1"/>
        <v>1</v>
      </c>
      <c r="J5" s="62">
        <f t="shared" si="2"/>
        <v>0</v>
      </c>
      <c r="K5" s="67">
        <f t="shared" si="3"/>
        <v>0</v>
      </c>
      <c r="L5" s="67">
        <f t="shared" si="4"/>
        <v>1</v>
      </c>
      <c r="M5" s="67">
        <f t="shared" si="5"/>
        <v>1</v>
      </c>
      <c r="N5" s="67">
        <f t="shared" si="6"/>
        <v>0</v>
      </c>
      <c r="O5" s="68">
        <f t="shared" si="7"/>
        <v>0</v>
      </c>
      <c r="P5" s="69">
        <v>8</v>
      </c>
      <c r="Q5" s="72">
        <f t="shared" si="8"/>
        <v>1</v>
      </c>
      <c r="R5" s="72">
        <f t="shared" si="9"/>
        <v>0</v>
      </c>
      <c r="S5" s="72">
        <f t="shared" si="10"/>
        <v>0</v>
      </c>
      <c r="T5" s="72">
        <f t="shared" si="11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/>
      <c r="AI5" s="73"/>
      <c r="AJ5" s="73"/>
      <c r="AK5" s="73"/>
      <c r="AL5" s="73"/>
      <c r="AM5" s="73"/>
    </row>
    <row r="6" spans="1:39">
      <c r="A6" s="56">
        <v>5</v>
      </c>
      <c r="B6" s="23" t="s">
        <v>43</v>
      </c>
      <c r="C6" s="24">
        <v>0</v>
      </c>
      <c r="D6" s="24">
        <v>2</v>
      </c>
      <c r="E6" s="57" t="s">
        <v>39</v>
      </c>
      <c r="F6" s="58">
        <f t="shared" si="12"/>
        <v>0</v>
      </c>
      <c r="G6" s="58">
        <f t="shared" si="13"/>
        <v>0</v>
      </c>
      <c r="H6" s="58">
        <f t="shared" si="0"/>
        <v>0</v>
      </c>
      <c r="I6" s="58">
        <f t="shared" si="1"/>
        <v>1</v>
      </c>
      <c r="J6" s="57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5">
        <f t="shared" si="7"/>
        <v>0</v>
      </c>
      <c r="P6" s="66">
        <v>11</v>
      </c>
      <c r="Q6" s="71">
        <f t="shared" si="8"/>
        <v>1</v>
      </c>
      <c r="R6" s="71">
        <f t="shared" si="9"/>
        <v>0</v>
      </c>
      <c r="S6" s="71">
        <f t="shared" si="10"/>
        <v>1</v>
      </c>
      <c r="T6" s="71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/>
      <c r="AI6" s="25"/>
      <c r="AJ6" s="25"/>
      <c r="AK6" s="25"/>
      <c r="AL6" s="25"/>
      <c r="AM6" s="25"/>
    </row>
    <row r="7" spans="1:39">
      <c r="A7" s="59">
        <v>6</v>
      </c>
      <c r="B7" s="59" t="s">
        <v>44</v>
      </c>
      <c r="C7" s="60">
        <v>0</v>
      </c>
      <c r="D7" s="61">
        <v>3</v>
      </c>
      <c r="E7" s="62" t="s">
        <v>39</v>
      </c>
      <c r="F7" s="61">
        <f t="shared" si="12"/>
        <v>0</v>
      </c>
      <c r="G7" s="61">
        <f t="shared" si="13"/>
        <v>0</v>
      </c>
      <c r="H7" s="61">
        <f t="shared" si="0"/>
        <v>0</v>
      </c>
      <c r="I7" s="61">
        <f t="shared" si="1"/>
        <v>1</v>
      </c>
      <c r="J7" s="62">
        <f t="shared" si="2"/>
        <v>1</v>
      </c>
      <c r="K7" s="67">
        <f t="shared" si="3"/>
        <v>0</v>
      </c>
      <c r="L7" s="67">
        <f t="shared" si="4"/>
        <v>1</v>
      </c>
      <c r="M7" s="67">
        <f t="shared" si="5"/>
        <v>1</v>
      </c>
      <c r="N7" s="67">
        <f t="shared" si="6"/>
        <v>0</v>
      </c>
      <c r="O7" s="68">
        <f t="shared" si="7"/>
        <v>0</v>
      </c>
      <c r="P7" s="69">
        <v>12</v>
      </c>
      <c r="Q7" s="72">
        <f t="shared" si="8"/>
        <v>1</v>
      </c>
      <c r="R7" s="72">
        <f t="shared" si="9"/>
        <v>1</v>
      </c>
      <c r="S7" s="72">
        <f t="shared" si="10"/>
        <v>0</v>
      </c>
      <c r="T7" s="72">
        <f t="shared" si="11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/>
      <c r="AI7" s="73"/>
      <c r="AJ7" s="73"/>
      <c r="AK7" s="73"/>
      <c r="AL7" s="73"/>
      <c r="AM7" s="73"/>
    </row>
    <row r="8" spans="1:39">
      <c r="A8" s="56">
        <v>7</v>
      </c>
      <c r="B8" s="23" t="s">
        <v>45</v>
      </c>
      <c r="C8" s="24"/>
      <c r="D8" s="24">
        <v>0</v>
      </c>
      <c r="E8" s="57">
        <v>4</v>
      </c>
      <c r="F8" s="58" t="str">
        <f t="shared" si="12"/>
        <v/>
      </c>
      <c r="G8" s="58" t="str">
        <f t="shared" si="13"/>
        <v/>
      </c>
      <c r="H8" s="58">
        <f t="shared" si="0"/>
        <v>0</v>
      </c>
      <c r="I8" s="58">
        <f t="shared" si="1"/>
        <v>0</v>
      </c>
      <c r="J8" s="57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5">
        <f t="shared" si="7"/>
        <v>0</v>
      </c>
      <c r="P8" s="66">
        <v>5</v>
      </c>
      <c r="Q8" s="71">
        <f t="shared" si="8"/>
        <v>0</v>
      </c>
      <c r="R8" s="71">
        <f t="shared" si="9"/>
        <v>1</v>
      </c>
      <c r="S8" s="71">
        <f t="shared" si="10"/>
        <v>0</v>
      </c>
      <c r="T8" s="71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/>
      <c r="AI8" s="25"/>
      <c r="AJ8" s="25"/>
      <c r="AK8" s="25"/>
      <c r="AL8" s="25"/>
      <c r="AM8" s="25"/>
    </row>
    <row r="9" spans="1:39">
      <c r="A9" s="59">
        <v>8</v>
      </c>
      <c r="B9" s="59" t="s">
        <v>46</v>
      </c>
      <c r="C9" s="60"/>
      <c r="D9" s="61">
        <v>7</v>
      </c>
      <c r="E9" s="62">
        <v>4</v>
      </c>
      <c r="F9" s="61" t="str">
        <f t="shared" si="12"/>
        <v/>
      </c>
      <c r="G9" s="61" t="str">
        <f t="shared" si="13"/>
        <v/>
      </c>
      <c r="H9" s="61">
        <f t="shared" si="0"/>
        <v>1</v>
      </c>
      <c r="I9" s="61">
        <f t="shared" si="1"/>
        <v>1</v>
      </c>
      <c r="J9" s="62">
        <f t="shared" si="2"/>
        <v>1</v>
      </c>
      <c r="K9" s="67">
        <f t="shared" si="3"/>
        <v>0</v>
      </c>
      <c r="L9" s="67">
        <f t="shared" si="4"/>
        <v>0</v>
      </c>
      <c r="M9" s="67">
        <f t="shared" si="5"/>
        <v>1</v>
      </c>
      <c r="N9" s="67">
        <f t="shared" si="6"/>
        <v>0</v>
      </c>
      <c r="O9" s="68">
        <f t="shared" si="7"/>
        <v>0</v>
      </c>
      <c r="P9" s="69">
        <v>7</v>
      </c>
      <c r="Q9" s="72">
        <f t="shared" si="8"/>
        <v>0</v>
      </c>
      <c r="R9" s="72">
        <f t="shared" si="9"/>
        <v>1</v>
      </c>
      <c r="S9" s="72">
        <f t="shared" si="10"/>
        <v>1</v>
      </c>
      <c r="T9" s="72">
        <f t="shared" si="11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/>
      <c r="AI9" s="73"/>
      <c r="AJ9" s="73"/>
      <c r="AK9" s="73"/>
      <c r="AL9" s="73"/>
      <c r="AM9" s="73"/>
    </row>
    <row r="10" spans="1:39">
      <c r="A10" s="56">
        <v>9</v>
      </c>
      <c r="B10" s="23" t="s">
        <v>47</v>
      </c>
      <c r="C10" s="24"/>
      <c r="D10" s="24">
        <v>6</v>
      </c>
      <c r="E10" s="57">
        <v>4</v>
      </c>
      <c r="F10" s="58" t="str">
        <f t="shared" si="12"/>
        <v/>
      </c>
      <c r="G10" s="58" t="str">
        <f t="shared" si="13"/>
        <v/>
      </c>
      <c r="H10" s="58">
        <f t="shared" si="0"/>
        <v>1</v>
      </c>
      <c r="I10" s="58">
        <f t="shared" si="1"/>
        <v>1</v>
      </c>
      <c r="J10" s="57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5">
        <f t="shared" si="7"/>
        <v>0</v>
      </c>
      <c r="P10" s="66">
        <v>8</v>
      </c>
      <c r="Q10" s="71">
        <f t="shared" si="8"/>
        <v>1</v>
      </c>
      <c r="R10" s="71">
        <f t="shared" si="9"/>
        <v>0</v>
      </c>
      <c r="S10" s="71">
        <f t="shared" si="10"/>
        <v>0</v>
      </c>
      <c r="T10" s="71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/>
      <c r="AI10" s="25"/>
      <c r="AJ10" s="25"/>
      <c r="AK10" s="25"/>
      <c r="AL10" s="25"/>
      <c r="AM10" s="25"/>
    </row>
    <row r="11" spans="1:39">
      <c r="A11" s="59">
        <v>10</v>
      </c>
      <c r="B11" s="59" t="s">
        <v>48</v>
      </c>
      <c r="C11" s="60"/>
      <c r="D11" s="61">
        <v>4</v>
      </c>
      <c r="E11" s="62">
        <v>4</v>
      </c>
      <c r="F11" s="61" t="str">
        <f t="shared" si="12"/>
        <v/>
      </c>
      <c r="G11" s="61" t="str">
        <f t="shared" si="13"/>
        <v/>
      </c>
      <c r="H11" s="61">
        <f t="shared" si="0"/>
        <v>1</v>
      </c>
      <c r="I11" s="61">
        <f t="shared" si="1"/>
        <v>0</v>
      </c>
      <c r="J11" s="62">
        <f t="shared" si="2"/>
        <v>0</v>
      </c>
      <c r="K11" s="67">
        <f t="shared" si="3"/>
        <v>0</v>
      </c>
      <c r="L11" s="67">
        <f t="shared" si="4"/>
        <v>0</v>
      </c>
      <c r="M11" s="67">
        <f t="shared" si="5"/>
        <v>1</v>
      </c>
      <c r="N11" s="67">
        <f t="shared" si="6"/>
        <v>0</v>
      </c>
      <c r="O11" s="68">
        <f t="shared" si="7"/>
        <v>0</v>
      </c>
      <c r="P11" s="69">
        <v>9</v>
      </c>
      <c r="Q11" s="72">
        <f t="shared" si="8"/>
        <v>1</v>
      </c>
      <c r="R11" s="72">
        <f t="shared" si="9"/>
        <v>0</v>
      </c>
      <c r="S11" s="72">
        <f t="shared" si="10"/>
        <v>0</v>
      </c>
      <c r="T11" s="72">
        <f t="shared" si="11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/>
      <c r="AI11" s="73"/>
      <c r="AJ11" s="73"/>
      <c r="AK11" s="73"/>
      <c r="AL11" s="73"/>
      <c r="AM11" s="73"/>
    </row>
    <row r="12" spans="1:39">
      <c r="A12" s="56">
        <v>11</v>
      </c>
      <c r="B12" s="23" t="s">
        <v>49</v>
      </c>
      <c r="C12" s="24"/>
      <c r="D12" s="24">
        <v>2</v>
      </c>
      <c r="E12" s="57">
        <v>4</v>
      </c>
      <c r="F12" s="58" t="str">
        <f t="shared" si="12"/>
        <v/>
      </c>
      <c r="G12" s="58" t="str">
        <f t="shared" si="13"/>
        <v/>
      </c>
      <c r="H12" s="58">
        <f t="shared" si="0"/>
        <v>0</v>
      </c>
      <c r="I12" s="58">
        <f t="shared" si="1"/>
        <v>1</v>
      </c>
      <c r="J12" s="57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5">
        <f t="shared" si="7"/>
        <v>0</v>
      </c>
      <c r="P12" s="66">
        <v>11</v>
      </c>
      <c r="Q12" s="71">
        <f t="shared" si="8"/>
        <v>1</v>
      </c>
      <c r="R12" s="71">
        <f t="shared" si="9"/>
        <v>0</v>
      </c>
      <c r="S12" s="71">
        <f t="shared" si="10"/>
        <v>1</v>
      </c>
      <c r="T12" s="71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/>
      <c r="AI12" s="25"/>
      <c r="AJ12" s="25"/>
      <c r="AK12" s="25"/>
      <c r="AL12" s="25"/>
      <c r="AM12" s="25"/>
    </row>
    <row r="13" spans="1:39">
      <c r="A13" s="59">
        <v>12</v>
      </c>
      <c r="B13" s="59" t="s">
        <v>50</v>
      </c>
      <c r="C13" s="60">
        <v>0</v>
      </c>
      <c r="D13" s="61">
        <v>1</v>
      </c>
      <c r="E13" s="62">
        <v>4</v>
      </c>
      <c r="F13" s="61">
        <f t="shared" si="12"/>
        <v>0</v>
      </c>
      <c r="G13" s="61">
        <f t="shared" si="13"/>
        <v>0</v>
      </c>
      <c r="H13" s="61">
        <f t="shared" si="0"/>
        <v>0</v>
      </c>
      <c r="I13" s="61">
        <f t="shared" si="1"/>
        <v>0</v>
      </c>
      <c r="J13" s="62">
        <f t="shared" si="2"/>
        <v>1</v>
      </c>
      <c r="K13" s="67">
        <f t="shared" si="3"/>
        <v>0</v>
      </c>
      <c r="L13" s="67">
        <f t="shared" si="4"/>
        <v>0</v>
      </c>
      <c r="M13" s="67">
        <f t="shared" si="5"/>
        <v>1</v>
      </c>
      <c r="N13" s="67">
        <f t="shared" si="6"/>
        <v>0</v>
      </c>
      <c r="O13" s="68">
        <f t="shared" si="7"/>
        <v>0</v>
      </c>
      <c r="P13" s="69">
        <v>0</v>
      </c>
      <c r="Q13" s="72">
        <f t="shared" si="8"/>
        <v>0</v>
      </c>
      <c r="R13" s="72">
        <f t="shared" si="9"/>
        <v>0</v>
      </c>
      <c r="S13" s="72">
        <f t="shared" si="10"/>
        <v>0</v>
      </c>
      <c r="T13" s="72">
        <f t="shared" si="11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/>
      <c r="AI13" s="73"/>
      <c r="AJ13" s="73"/>
      <c r="AK13" s="73"/>
      <c r="AL13" s="73"/>
      <c r="AM13" s="73"/>
    </row>
    <row r="14" spans="1:39">
      <c r="A14" s="56">
        <v>13</v>
      </c>
      <c r="B14" s="23" t="s">
        <v>51</v>
      </c>
      <c r="C14" s="24">
        <v>0</v>
      </c>
      <c r="D14" s="24">
        <v>5</v>
      </c>
      <c r="E14" s="57">
        <v>4</v>
      </c>
      <c r="F14" s="58">
        <f t="shared" si="12"/>
        <v>0</v>
      </c>
      <c r="G14" s="58">
        <f t="shared" si="13"/>
        <v>0</v>
      </c>
      <c r="H14" s="58">
        <f t="shared" si="0"/>
        <v>1</v>
      </c>
      <c r="I14" s="58">
        <f t="shared" si="1"/>
        <v>0</v>
      </c>
      <c r="J14" s="57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5">
        <f t="shared" si="7"/>
        <v>0</v>
      </c>
      <c r="P14" s="66">
        <v>2</v>
      </c>
      <c r="Q14" s="71">
        <f t="shared" si="8"/>
        <v>0</v>
      </c>
      <c r="R14" s="71">
        <f t="shared" si="9"/>
        <v>0</v>
      </c>
      <c r="S14" s="71">
        <f t="shared" si="10"/>
        <v>1</v>
      </c>
      <c r="T14" s="71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/>
      <c r="AI14" s="25"/>
      <c r="AJ14" s="25"/>
      <c r="AK14" s="25"/>
      <c r="AL14" s="25"/>
      <c r="AM14" s="25"/>
    </row>
    <row r="15" spans="1:39">
      <c r="A15" s="59">
        <v>14</v>
      </c>
      <c r="B15" s="59" t="s">
        <v>52</v>
      </c>
      <c r="C15" s="60">
        <v>32</v>
      </c>
      <c r="D15" s="61">
        <v>5</v>
      </c>
      <c r="E15" s="62">
        <v>4</v>
      </c>
      <c r="F15" s="61">
        <f t="shared" si="12"/>
        <v>1</v>
      </c>
      <c r="G15" s="61">
        <f t="shared" si="13"/>
        <v>0</v>
      </c>
      <c r="H15" s="61">
        <f t="shared" si="0"/>
        <v>1</v>
      </c>
      <c r="I15" s="61">
        <f t="shared" si="1"/>
        <v>0</v>
      </c>
      <c r="J15" s="62">
        <f t="shared" si="2"/>
        <v>1</v>
      </c>
      <c r="K15" s="67">
        <f t="shared" si="3"/>
        <v>0</v>
      </c>
      <c r="L15" s="67">
        <f t="shared" si="4"/>
        <v>0</v>
      </c>
      <c r="M15" s="67">
        <f t="shared" si="5"/>
        <v>1</v>
      </c>
      <c r="N15" s="67">
        <f t="shared" si="6"/>
        <v>0</v>
      </c>
      <c r="O15" s="68">
        <f t="shared" si="7"/>
        <v>0</v>
      </c>
      <c r="P15" s="69">
        <v>1</v>
      </c>
      <c r="Q15" s="72">
        <f t="shared" si="8"/>
        <v>0</v>
      </c>
      <c r="R15" s="72">
        <f t="shared" si="9"/>
        <v>0</v>
      </c>
      <c r="S15" s="72">
        <f t="shared" si="10"/>
        <v>0</v>
      </c>
      <c r="T15" s="72">
        <f t="shared" si="11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/>
      <c r="AI15" s="73"/>
      <c r="AJ15" s="73"/>
      <c r="AK15" s="73"/>
      <c r="AL15" s="73"/>
      <c r="AM15" s="73"/>
    </row>
    <row r="16" spans="1:39">
      <c r="A16" s="56">
        <v>15</v>
      </c>
      <c r="B16" s="23" t="s">
        <v>53</v>
      </c>
      <c r="C16" s="24"/>
      <c r="D16" s="24">
        <v>2</v>
      </c>
      <c r="E16" s="57">
        <v>0</v>
      </c>
      <c r="F16" s="58" t="str">
        <f t="shared" si="12"/>
        <v/>
      </c>
      <c r="G16" s="58" t="str">
        <f t="shared" si="13"/>
        <v/>
      </c>
      <c r="H16" s="58">
        <f t="shared" si="0"/>
        <v>0</v>
      </c>
      <c r="I16" s="58">
        <f t="shared" si="1"/>
        <v>1</v>
      </c>
      <c r="J16" s="57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5">
        <f t="shared" si="7"/>
        <v>0</v>
      </c>
      <c r="P16" s="66">
        <v>5</v>
      </c>
      <c r="Q16" s="71">
        <f t="shared" si="8"/>
        <v>0</v>
      </c>
      <c r="R16" s="71">
        <f t="shared" si="9"/>
        <v>1</v>
      </c>
      <c r="S16" s="71">
        <f t="shared" si="10"/>
        <v>0</v>
      </c>
      <c r="T16" s="71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/>
      <c r="AI16" s="25"/>
      <c r="AJ16" s="25"/>
      <c r="AK16" s="25"/>
      <c r="AL16" s="25"/>
      <c r="AM16" s="25"/>
    </row>
    <row r="17" spans="1:39">
      <c r="A17" s="59">
        <v>16</v>
      </c>
      <c r="B17" s="59" t="s">
        <v>54</v>
      </c>
      <c r="C17" s="60"/>
      <c r="D17" s="61">
        <v>2</v>
      </c>
      <c r="E17" s="62">
        <v>8</v>
      </c>
      <c r="F17" s="61" t="str">
        <f t="shared" si="12"/>
        <v/>
      </c>
      <c r="G17" s="61" t="str">
        <f t="shared" si="13"/>
        <v/>
      </c>
      <c r="H17" s="61">
        <f t="shared" si="0"/>
        <v>0</v>
      </c>
      <c r="I17" s="61">
        <f t="shared" si="1"/>
        <v>1</v>
      </c>
      <c r="J17" s="62">
        <f t="shared" si="2"/>
        <v>0</v>
      </c>
      <c r="K17" s="67">
        <f t="shared" si="3"/>
        <v>0</v>
      </c>
      <c r="L17" s="67">
        <f t="shared" si="4"/>
        <v>1</v>
      </c>
      <c r="M17" s="67">
        <f t="shared" si="5"/>
        <v>0</v>
      </c>
      <c r="N17" s="67">
        <f t="shared" si="6"/>
        <v>0</v>
      </c>
      <c r="O17" s="68">
        <f t="shared" si="7"/>
        <v>0</v>
      </c>
      <c r="P17" s="69">
        <v>5</v>
      </c>
      <c r="Q17" s="72">
        <f t="shared" si="8"/>
        <v>0</v>
      </c>
      <c r="R17" s="72">
        <f t="shared" si="9"/>
        <v>1</v>
      </c>
      <c r="S17" s="72">
        <f t="shared" si="10"/>
        <v>0</v>
      </c>
      <c r="T17" s="72">
        <f t="shared" si="11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/>
      <c r="AI17" s="73"/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55</v>
      </c>
      <c r="F18" s="58">
        <f t="shared" si="12"/>
        <v>0</v>
      </c>
      <c r="G18" s="58">
        <f t="shared" si="13"/>
        <v>0</v>
      </c>
      <c r="H18" s="58">
        <f t="shared" si="0"/>
        <v>0</v>
      </c>
      <c r="I18" s="58">
        <f t="shared" si="1"/>
        <v>0</v>
      </c>
      <c r="J18" s="57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5">
        <f t="shared" si="7"/>
        <v>0</v>
      </c>
      <c r="P18" s="66"/>
      <c r="Q18" s="71" t="str">
        <f t="shared" si="8"/>
        <v>X</v>
      </c>
      <c r="R18" s="71" t="str">
        <f t="shared" si="9"/>
        <v>X</v>
      </c>
      <c r="S18" s="71" t="str">
        <f t="shared" si="10"/>
        <v>X</v>
      </c>
      <c r="T18" s="71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/>
      <c r="AI18" s="25"/>
      <c r="AJ18" s="25"/>
      <c r="AK18" s="25"/>
      <c r="AL18" s="25"/>
      <c r="AM18" s="25"/>
    </row>
    <row r="19" spans="1:39">
      <c r="A19" s="59">
        <v>18</v>
      </c>
      <c r="B19" s="59" t="s">
        <v>56</v>
      </c>
      <c r="C19" s="60"/>
      <c r="D19" s="61">
        <v>0</v>
      </c>
      <c r="E19" s="62">
        <v>18</v>
      </c>
      <c r="F19" s="61" t="str">
        <f t="shared" si="12"/>
        <v/>
      </c>
      <c r="G19" s="61" t="str">
        <f t="shared" si="13"/>
        <v/>
      </c>
      <c r="H19" s="61">
        <f t="shared" si="0"/>
        <v>0</v>
      </c>
      <c r="I19" s="61">
        <f t="shared" si="1"/>
        <v>0</v>
      </c>
      <c r="J19" s="62">
        <f t="shared" si="2"/>
        <v>0</v>
      </c>
      <c r="K19" s="67">
        <f t="shared" si="3"/>
        <v>1</v>
      </c>
      <c r="L19" s="67">
        <f t="shared" si="4"/>
        <v>1</v>
      </c>
      <c r="M19" s="67">
        <f t="shared" si="5"/>
        <v>0</v>
      </c>
      <c r="N19" s="67">
        <f t="shared" si="6"/>
        <v>0</v>
      </c>
      <c r="O19" s="68">
        <f t="shared" si="7"/>
        <v>0</v>
      </c>
      <c r="P19" s="69"/>
      <c r="Q19" s="72" t="str">
        <f t="shared" si="8"/>
        <v>X</v>
      </c>
      <c r="R19" s="72" t="str">
        <f t="shared" si="9"/>
        <v>X</v>
      </c>
      <c r="S19" s="72" t="str">
        <f t="shared" si="10"/>
        <v>X</v>
      </c>
      <c r="T19" s="72" t="str">
        <f t="shared" si="11"/>
        <v>X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/>
      <c r="AI19" s="73"/>
      <c r="AJ19" s="73"/>
      <c r="AK19" s="73"/>
      <c r="AL19" s="73"/>
      <c r="AM19" s="73"/>
    </row>
    <row r="20" spans="1:39">
      <c r="A20" s="56">
        <v>19</v>
      </c>
      <c r="B20" s="23" t="s">
        <v>57</v>
      </c>
      <c r="C20" s="24"/>
      <c r="D20" s="24">
        <v>1</v>
      </c>
      <c r="E20" s="57">
        <v>18</v>
      </c>
      <c r="F20" s="58" t="str">
        <f t="shared" si="12"/>
        <v/>
      </c>
      <c r="G20" s="58" t="str">
        <f t="shared" si="13"/>
        <v/>
      </c>
      <c r="H20" s="58">
        <f t="shared" si="0"/>
        <v>0</v>
      </c>
      <c r="I20" s="58">
        <f t="shared" si="1"/>
        <v>0</v>
      </c>
      <c r="J20" s="57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5">
        <f t="shared" si="7"/>
        <v>0</v>
      </c>
      <c r="P20" s="66"/>
      <c r="Q20" s="71" t="str">
        <f t="shared" si="8"/>
        <v>X</v>
      </c>
      <c r="R20" s="71" t="str">
        <f t="shared" si="9"/>
        <v>X</v>
      </c>
      <c r="S20" s="71" t="str">
        <f t="shared" si="10"/>
        <v>X</v>
      </c>
      <c r="T20" s="71" t="str">
        <f t="shared" si="11"/>
        <v>X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/>
      <c r="AI20" s="25"/>
      <c r="AJ20" s="25"/>
      <c r="AK20" s="25"/>
      <c r="AL20" s="25"/>
      <c r="AM20" s="25"/>
    </row>
    <row r="21" spans="1:39">
      <c r="A21" s="59">
        <v>20</v>
      </c>
      <c r="B21" s="59" t="s">
        <v>58</v>
      </c>
      <c r="C21" s="60"/>
      <c r="D21" s="61"/>
      <c r="E21" s="62" t="s">
        <v>59</v>
      </c>
      <c r="F21" s="61" t="str">
        <f t="shared" si="12"/>
        <v/>
      </c>
      <c r="G21" s="61" t="str">
        <f t="shared" si="13"/>
        <v/>
      </c>
      <c r="H21" s="61" t="str">
        <f t="shared" si="0"/>
        <v/>
      </c>
      <c r="I21" s="61" t="str">
        <f t="shared" si="1"/>
        <v/>
      </c>
      <c r="J21" s="62" t="str">
        <f t="shared" si="2"/>
        <v/>
      </c>
      <c r="K21" s="67">
        <f t="shared" si="3"/>
        <v>1</v>
      </c>
      <c r="L21" s="67">
        <f t="shared" si="4"/>
        <v>1</v>
      </c>
      <c r="M21" s="67">
        <f t="shared" si="5"/>
        <v>0</v>
      </c>
      <c r="N21" s="67">
        <f t="shared" si="6"/>
        <v>1</v>
      </c>
      <c r="O21" s="68">
        <f t="shared" si="7"/>
        <v>1</v>
      </c>
      <c r="P21" s="69"/>
      <c r="Q21" s="72" t="str">
        <f t="shared" si="8"/>
        <v>X</v>
      </c>
      <c r="R21" s="72" t="str">
        <f t="shared" si="9"/>
        <v>X</v>
      </c>
      <c r="S21" s="72" t="str">
        <f t="shared" si="10"/>
        <v>X</v>
      </c>
      <c r="T21" s="72" t="str">
        <f t="shared" si="11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29</v>
      </c>
      <c r="C22" s="24"/>
      <c r="D22" s="24">
        <v>0</v>
      </c>
      <c r="E22" s="57">
        <v>19</v>
      </c>
      <c r="F22" s="58" t="str">
        <f t="shared" si="12"/>
        <v/>
      </c>
      <c r="G22" s="58" t="str">
        <f t="shared" si="13"/>
        <v/>
      </c>
      <c r="H22" s="58">
        <f t="shared" si="0"/>
        <v>0</v>
      </c>
      <c r="I22" s="58">
        <f t="shared" si="1"/>
        <v>0</v>
      </c>
      <c r="J22" s="57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5">
        <f t="shared" si="7"/>
        <v>1</v>
      </c>
      <c r="P22" s="66"/>
      <c r="Q22" s="71" t="str">
        <f t="shared" si="8"/>
        <v>X</v>
      </c>
      <c r="R22" s="71" t="str">
        <f t="shared" si="9"/>
        <v>X</v>
      </c>
      <c r="S22" s="71" t="str">
        <f t="shared" si="10"/>
        <v>X</v>
      </c>
      <c r="T22" s="71" t="str">
        <f t="shared" si="11"/>
        <v>X</v>
      </c>
      <c r="U22" s="23"/>
      <c r="V22" s="23"/>
      <c r="W22" s="23"/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/>
      <c r="AI22" s="25"/>
      <c r="AJ22" s="25"/>
      <c r="AK22" s="25"/>
      <c r="AL22" s="25"/>
      <c r="AM22" s="25"/>
    </row>
    <row r="23" spans="1:39">
      <c r="A23" s="59">
        <v>22</v>
      </c>
      <c r="B23" s="59" t="s">
        <v>34</v>
      </c>
      <c r="C23" s="60"/>
      <c r="D23" s="61">
        <v>6</v>
      </c>
      <c r="E23" s="62" t="s">
        <v>60</v>
      </c>
      <c r="F23" s="61" t="str">
        <f t="shared" si="12"/>
        <v/>
      </c>
      <c r="G23" s="61" t="str">
        <f t="shared" si="13"/>
        <v/>
      </c>
      <c r="H23" s="61">
        <f t="shared" si="0"/>
        <v>1</v>
      </c>
      <c r="I23" s="61">
        <f t="shared" si="1"/>
        <v>1</v>
      </c>
      <c r="J23" s="62">
        <f t="shared" si="2"/>
        <v>0</v>
      </c>
      <c r="K23" s="67">
        <f t="shared" si="3"/>
        <v>1</v>
      </c>
      <c r="L23" s="67">
        <f t="shared" si="4"/>
        <v>1</v>
      </c>
      <c r="M23" s="67">
        <f t="shared" si="5"/>
        <v>1</v>
      </c>
      <c r="N23" s="67">
        <f t="shared" si="6"/>
        <v>0</v>
      </c>
      <c r="O23" s="68">
        <f t="shared" si="7"/>
        <v>0</v>
      </c>
      <c r="P23" s="69"/>
      <c r="Q23" s="72" t="str">
        <f t="shared" si="8"/>
        <v>X</v>
      </c>
      <c r="R23" s="72" t="str">
        <f t="shared" si="9"/>
        <v>X</v>
      </c>
      <c r="S23" s="72" t="str">
        <f t="shared" si="10"/>
        <v>X</v>
      </c>
      <c r="T23" s="72" t="str">
        <f t="shared" si="11"/>
        <v>X</v>
      </c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73"/>
      <c r="AH23" s="73"/>
      <c r="AI23" s="73">
        <v>1</v>
      </c>
      <c r="AJ23" s="73"/>
      <c r="AK23" s="73"/>
      <c r="AL23" s="73"/>
      <c r="AM23" s="73"/>
    </row>
    <row r="24" spans="1:39">
      <c r="A24" s="56">
        <v>23</v>
      </c>
      <c r="B24" s="63" t="s">
        <v>35</v>
      </c>
      <c r="C24" s="24"/>
      <c r="D24" s="24">
        <v>7</v>
      </c>
      <c r="E24" s="57" t="s">
        <v>60</v>
      </c>
      <c r="F24" s="58" t="str">
        <f t="shared" si="12"/>
        <v/>
      </c>
      <c r="G24" s="58" t="str">
        <f t="shared" si="13"/>
        <v/>
      </c>
      <c r="H24" s="58">
        <f t="shared" si="0"/>
        <v>1</v>
      </c>
      <c r="I24" s="58">
        <f t="shared" si="1"/>
        <v>1</v>
      </c>
      <c r="J24" s="57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5">
        <f t="shared" si="7"/>
        <v>0</v>
      </c>
      <c r="P24" s="66"/>
      <c r="Q24" s="71" t="str">
        <f t="shared" si="8"/>
        <v>X</v>
      </c>
      <c r="R24" s="71" t="str">
        <f t="shared" si="9"/>
        <v>X</v>
      </c>
      <c r="S24" s="71" t="str">
        <f t="shared" si="10"/>
        <v>X</v>
      </c>
      <c r="T24" s="71" t="str">
        <f t="shared" si="11"/>
        <v>X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>
        <v>1</v>
      </c>
      <c r="AK24" s="25"/>
      <c r="AL24" s="25"/>
      <c r="AM24" s="25"/>
    </row>
    <row r="25" spans="1:39">
      <c r="A25" s="59">
        <v>24</v>
      </c>
      <c r="B25" s="59" t="s">
        <v>61</v>
      </c>
      <c r="C25" s="60">
        <v>0</v>
      </c>
      <c r="D25" s="61">
        <v>0</v>
      </c>
      <c r="E25" s="62" t="s">
        <v>60</v>
      </c>
      <c r="F25" s="61">
        <f t="shared" si="12"/>
        <v>0</v>
      </c>
      <c r="G25" s="61">
        <f t="shared" si="13"/>
        <v>0</v>
      </c>
      <c r="H25" s="61">
        <f t="shared" si="0"/>
        <v>0</v>
      </c>
      <c r="I25" s="61">
        <f t="shared" si="1"/>
        <v>0</v>
      </c>
      <c r="J25" s="62">
        <f t="shared" si="2"/>
        <v>0</v>
      </c>
      <c r="K25" s="67">
        <f t="shared" si="3"/>
        <v>1</v>
      </c>
      <c r="L25" s="67">
        <f t="shared" si="4"/>
        <v>1</v>
      </c>
      <c r="M25" s="67">
        <f t="shared" si="5"/>
        <v>1</v>
      </c>
      <c r="N25" s="67">
        <f t="shared" si="6"/>
        <v>0</v>
      </c>
      <c r="O25" s="68">
        <f t="shared" si="7"/>
        <v>0</v>
      </c>
      <c r="P25" s="69"/>
      <c r="Q25" s="72" t="str">
        <f t="shared" si="8"/>
        <v>X</v>
      </c>
      <c r="R25" s="72" t="str">
        <f t="shared" si="9"/>
        <v>X</v>
      </c>
      <c r="S25" s="72" t="str">
        <f t="shared" si="10"/>
        <v>X</v>
      </c>
      <c r="T25" s="72" t="str">
        <f t="shared" si="11"/>
        <v>X</v>
      </c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 t="s">
        <v>30</v>
      </c>
      <c r="C26" s="24">
        <v>0</v>
      </c>
      <c r="D26" s="24">
        <v>1</v>
      </c>
      <c r="E26" s="57" t="s">
        <v>39</v>
      </c>
      <c r="F26" s="58">
        <f t="shared" si="12"/>
        <v>0</v>
      </c>
      <c r="G26" s="58">
        <f t="shared" si="13"/>
        <v>0</v>
      </c>
      <c r="H26" s="58">
        <f t="shared" si="0"/>
        <v>0</v>
      </c>
      <c r="I26" s="58">
        <f t="shared" si="1"/>
        <v>0</v>
      </c>
      <c r="J26" s="57">
        <f t="shared" si="2"/>
        <v>1</v>
      </c>
      <c r="K26" s="25">
        <f t="shared" si="3"/>
        <v>0</v>
      </c>
      <c r="L26" s="25">
        <f t="shared" si="4"/>
        <v>1</v>
      </c>
      <c r="M26" s="25">
        <f t="shared" si="5"/>
        <v>1</v>
      </c>
      <c r="N26" s="25">
        <f t="shared" si="6"/>
        <v>0</v>
      </c>
      <c r="O26" s="65">
        <f t="shared" si="7"/>
        <v>0</v>
      </c>
      <c r="P26" s="66">
        <v>0</v>
      </c>
      <c r="Q26" s="71">
        <f t="shared" si="8"/>
        <v>0</v>
      </c>
      <c r="R26" s="71">
        <f t="shared" si="9"/>
        <v>0</v>
      </c>
      <c r="S26" s="71">
        <f t="shared" si="10"/>
        <v>0</v>
      </c>
      <c r="T26" s="71">
        <f t="shared" si="11"/>
        <v>0</v>
      </c>
      <c r="U26" s="23"/>
      <c r="V26" s="23"/>
      <c r="W26" s="23"/>
      <c r="X26" s="23">
        <v>1</v>
      </c>
      <c r="Y26" s="23"/>
      <c r="Z26" s="23"/>
      <c r="AA26" s="23"/>
      <c r="AB26" s="23"/>
      <c r="AC26" s="23"/>
      <c r="AD26" s="23"/>
      <c r="AE26" s="23">
        <v>1</v>
      </c>
      <c r="AF26" s="23"/>
      <c r="AG26" s="25"/>
      <c r="AH26" s="25"/>
      <c r="AI26" s="25"/>
      <c r="AJ26" s="25"/>
      <c r="AK26" s="25"/>
      <c r="AL26" s="25"/>
      <c r="AM26" s="25"/>
    </row>
    <row r="27" customFormat="1" spans="1:39">
      <c r="A27" s="56">
        <v>26</v>
      </c>
      <c r="B27" s="23" t="s">
        <v>31</v>
      </c>
      <c r="C27" s="24">
        <v>0</v>
      </c>
      <c r="D27" s="24">
        <v>4</v>
      </c>
      <c r="E27" s="57" t="s">
        <v>39</v>
      </c>
      <c r="F27" s="58">
        <v>0</v>
      </c>
      <c r="G27" s="58">
        <v>0</v>
      </c>
      <c r="H27" s="58">
        <v>1</v>
      </c>
      <c r="I27" s="58">
        <v>0</v>
      </c>
      <c r="J27" s="57">
        <v>0</v>
      </c>
      <c r="K27" s="25">
        <v>0</v>
      </c>
      <c r="L27" s="25">
        <v>1</v>
      </c>
      <c r="M27" s="25">
        <v>1</v>
      </c>
      <c r="N27" s="25">
        <v>0</v>
      </c>
      <c r="O27" s="65">
        <v>0</v>
      </c>
      <c r="P27" s="66">
        <v>9</v>
      </c>
      <c r="Q27" s="71">
        <v>1</v>
      </c>
      <c r="R27" s="71">
        <v>0</v>
      </c>
      <c r="S27" s="71">
        <v>0</v>
      </c>
      <c r="T27" s="71">
        <v>1</v>
      </c>
      <c r="U27" s="23"/>
      <c r="V27" s="23"/>
      <c r="W27" s="23"/>
      <c r="X27" s="23">
        <v>1</v>
      </c>
      <c r="Y27" s="23"/>
      <c r="Z27" s="23"/>
      <c r="AA27" s="23"/>
      <c r="AB27" s="23"/>
      <c r="AC27" s="23"/>
      <c r="AD27" s="23"/>
      <c r="AE27" s="23"/>
      <c r="AF27" s="23">
        <v>1</v>
      </c>
      <c r="AG27" s="25"/>
      <c r="AH27" s="25"/>
      <c r="AI27" s="25"/>
      <c r="AJ27" s="25"/>
      <c r="AK27" s="25"/>
      <c r="AL27" s="25"/>
      <c r="AM27" s="25"/>
    </row>
    <row r="28" customFormat="1" spans="1:39">
      <c r="A28" s="56">
        <v>27</v>
      </c>
      <c r="B28" s="23" t="s">
        <v>32</v>
      </c>
      <c r="C28" s="24"/>
      <c r="D28" s="24">
        <v>0</v>
      </c>
      <c r="E28" s="57">
        <v>0</v>
      </c>
      <c r="F28" s="58" t="s">
        <v>62</v>
      </c>
      <c r="G28" s="58" t="s">
        <v>62</v>
      </c>
      <c r="H28" s="58">
        <v>0</v>
      </c>
      <c r="I28" s="58">
        <v>0</v>
      </c>
      <c r="J28" s="57">
        <v>0</v>
      </c>
      <c r="K28" s="25">
        <v>0</v>
      </c>
      <c r="L28" s="25">
        <v>0</v>
      </c>
      <c r="M28" s="25">
        <v>0</v>
      </c>
      <c r="N28" s="25">
        <v>0</v>
      </c>
      <c r="O28" s="65">
        <v>0</v>
      </c>
      <c r="P28" s="66">
        <v>5</v>
      </c>
      <c r="Q28" s="71">
        <v>0</v>
      </c>
      <c r="R28" s="71">
        <v>1</v>
      </c>
      <c r="S28" s="71">
        <v>0</v>
      </c>
      <c r="T28" s="71">
        <v>1</v>
      </c>
      <c r="U28" s="23">
        <v>1</v>
      </c>
      <c r="V28" s="23"/>
      <c r="W28" s="23">
        <v>1</v>
      </c>
      <c r="X28" s="23">
        <v>1</v>
      </c>
      <c r="Y28" s="23"/>
      <c r="Z28" s="23"/>
      <c r="AA28" s="23"/>
      <c r="AB28" s="23"/>
      <c r="AC28" s="23"/>
      <c r="AD28" s="23"/>
      <c r="AE28" s="23"/>
      <c r="AF28" s="23"/>
      <c r="AG28" s="25">
        <v>1</v>
      </c>
      <c r="AH28" s="25"/>
      <c r="AI28" s="25"/>
      <c r="AJ28" s="25"/>
      <c r="AK28" s="25"/>
      <c r="AL28" s="25"/>
      <c r="AM28" s="25"/>
    </row>
    <row r="29" customFormat="1" spans="1:39">
      <c r="A29" s="59">
        <v>28</v>
      </c>
      <c r="B29" s="59" t="s">
        <v>33</v>
      </c>
      <c r="C29" s="60"/>
      <c r="D29" s="61">
        <v>6</v>
      </c>
      <c r="E29" s="62">
        <v>18</v>
      </c>
      <c r="F29" s="61" t="s">
        <v>62</v>
      </c>
      <c r="G29" s="61" t="s">
        <v>62</v>
      </c>
      <c r="H29" s="61">
        <v>1</v>
      </c>
      <c r="I29" s="61">
        <v>1</v>
      </c>
      <c r="J29" s="62">
        <v>0</v>
      </c>
      <c r="K29" s="67">
        <v>1</v>
      </c>
      <c r="L29" s="67">
        <v>1</v>
      </c>
      <c r="M29" s="67">
        <v>0</v>
      </c>
      <c r="N29" s="67">
        <v>0</v>
      </c>
      <c r="O29" s="68">
        <v>0</v>
      </c>
      <c r="P29" s="69">
        <v>12</v>
      </c>
      <c r="Q29" s="72">
        <v>1</v>
      </c>
      <c r="R29" s="72">
        <v>1</v>
      </c>
      <c r="S29" s="72">
        <v>0</v>
      </c>
      <c r="T29" s="72">
        <v>0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73"/>
      <c r="AH29" s="73">
        <v>1</v>
      </c>
      <c r="AI29" s="73"/>
      <c r="AJ29" s="73"/>
      <c r="AK29" s="73"/>
      <c r="AL29" s="73"/>
      <c r="AM29" s="73"/>
    </row>
    <row r="30" spans="1:39">
      <c r="A30" s="56">
        <v>29</v>
      </c>
      <c r="B30" s="23"/>
      <c r="C30" s="24"/>
      <c r="D30" s="24"/>
      <c r="E30" s="57"/>
      <c r="F30" s="58" t="str">
        <f t="shared" si="12"/>
        <v/>
      </c>
      <c r="G30" s="58" t="str">
        <f t="shared" si="13"/>
        <v/>
      </c>
      <c r="H30" s="58" t="str">
        <f t="shared" si="0"/>
        <v/>
      </c>
      <c r="I30" s="58" t="str">
        <f t="shared" si="1"/>
        <v/>
      </c>
      <c r="J30" s="57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5" t="str">
        <f t="shared" si="7"/>
        <v/>
      </c>
      <c r="P30" s="66"/>
      <c r="Q30" s="71" t="str">
        <f t="shared" si="8"/>
        <v>X</v>
      </c>
      <c r="R30" s="71" t="str">
        <f t="shared" si="9"/>
        <v>X</v>
      </c>
      <c r="S30" s="71" t="str">
        <f t="shared" si="10"/>
        <v>X</v>
      </c>
      <c r="T30" s="71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>
      <c r="A31" s="59">
        <v>30</v>
      </c>
      <c r="B31" s="59"/>
      <c r="C31" s="60"/>
      <c r="D31" s="61"/>
      <c r="E31" s="62"/>
      <c r="F31" s="61" t="str">
        <f t="shared" si="12"/>
        <v/>
      </c>
      <c r="G31" s="61" t="str">
        <f t="shared" si="13"/>
        <v/>
      </c>
      <c r="H31" s="61" t="str">
        <f t="shared" si="0"/>
        <v/>
      </c>
      <c r="I31" s="61" t="str">
        <f t="shared" si="1"/>
        <v/>
      </c>
      <c r="J31" s="62" t="str">
        <f t="shared" si="2"/>
        <v/>
      </c>
      <c r="K31" s="67" t="str">
        <f t="shared" si="3"/>
        <v/>
      </c>
      <c r="L31" s="67" t="str">
        <f t="shared" si="4"/>
        <v/>
      </c>
      <c r="M31" s="67" t="str">
        <f t="shared" si="5"/>
        <v/>
      </c>
      <c r="N31" s="67" t="str">
        <f t="shared" si="6"/>
        <v/>
      </c>
      <c r="O31" s="68" t="str">
        <f t="shared" si="7"/>
        <v/>
      </c>
      <c r="P31" s="69"/>
      <c r="Q31" s="72" t="str">
        <f t="shared" si="8"/>
        <v>X</v>
      </c>
      <c r="R31" s="72" t="str">
        <f t="shared" si="9"/>
        <v>X</v>
      </c>
      <c r="S31" s="72" t="str">
        <f t="shared" si="10"/>
        <v>X</v>
      </c>
      <c r="T31" s="72" t="str">
        <f t="shared" si="11"/>
        <v>X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73"/>
      <c r="AH31" s="73"/>
      <c r="AI31" s="73"/>
      <c r="AJ31" s="73"/>
      <c r="AK31" s="73"/>
      <c r="AL31" s="73"/>
      <c r="AM31" s="73"/>
    </row>
    <row r="32" spans="1:39">
      <c r="A32" s="56">
        <v>31</v>
      </c>
      <c r="B32" s="23"/>
      <c r="C32" s="24"/>
      <c r="D32" s="24"/>
      <c r="E32" s="57"/>
      <c r="F32" s="58" t="str">
        <f t="shared" si="12"/>
        <v/>
      </c>
      <c r="G32" s="58" t="str">
        <f t="shared" si="13"/>
        <v/>
      </c>
      <c r="H32" s="58" t="str">
        <f t="shared" si="0"/>
        <v/>
      </c>
      <c r="I32" s="58" t="str">
        <f t="shared" si="1"/>
        <v/>
      </c>
      <c r="J32" s="57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5" t="str">
        <f t="shared" si="7"/>
        <v/>
      </c>
      <c r="P32" s="66"/>
      <c r="Q32" s="71" t="str">
        <f t="shared" si="8"/>
        <v>X</v>
      </c>
      <c r="R32" s="71" t="str">
        <f t="shared" si="9"/>
        <v>X</v>
      </c>
      <c r="S32" s="71" t="str">
        <f t="shared" si="10"/>
        <v>X</v>
      </c>
      <c r="T32" s="71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>
      <c r="A33" s="59">
        <v>32</v>
      </c>
      <c r="B33" s="59"/>
      <c r="C33" s="60"/>
      <c r="D33" s="61"/>
      <c r="E33" s="62"/>
      <c r="F33" s="61" t="str">
        <f t="shared" si="12"/>
        <v/>
      </c>
      <c r="G33" s="61" t="str">
        <f t="shared" si="13"/>
        <v/>
      </c>
      <c r="H33" s="61" t="str">
        <f t="shared" si="0"/>
        <v/>
      </c>
      <c r="I33" s="61" t="str">
        <f t="shared" si="1"/>
        <v/>
      </c>
      <c r="J33" s="62" t="str">
        <f t="shared" si="2"/>
        <v/>
      </c>
      <c r="K33" s="67" t="str">
        <f t="shared" si="3"/>
        <v/>
      </c>
      <c r="L33" s="67" t="str">
        <f t="shared" si="4"/>
        <v/>
      </c>
      <c r="M33" s="67" t="str">
        <f t="shared" si="5"/>
        <v/>
      </c>
      <c r="N33" s="67" t="str">
        <f t="shared" si="6"/>
        <v/>
      </c>
      <c r="O33" s="68" t="str">
        <f t="shared" si="7"/>
        <v/>
      </c>
      <c r="P33" s="69"/>
      <c r="Q33" s="72" t="str">
        <f t="shared" si="8"/>
        <v>X</v>
      </c>
      <c r="R33" s="72" t="str">
        <f t="shared" si="9"/>
        <v>X</v>
      </c>
      <c r="S33" s="72" t="str">
        <f t="shared" si="10"/>
        <v>X</v>
      </c>
      <c r="T33" s="72" t="str">
        <f t="shared" si="11"/>
        <v>X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/>
      <c r="AI33" s="73"/>
      <c r="AJ33" s="73"/>
      <c r="AK33" s="73"/>
      <c r="AL33" s="73"/>
      <c r="AM33" s="73"/>
    </row>
    <row r="34" spans="1:39">
      <c r="A34" s="56">
        <v>33</v>
      </c>
      <c r="B34" s="23"/>
      <c r="C34" s="24"/>
      <c r="D34" s="24"/>
      <c r="E34" s="57"/>
      <c r="F34" s="58" t="str">
        <f t="shared" si="12"/>
        <v/>
      </c>
      <c r="G34" s="58" t="str">
        <f t="shared" si="13"/>
        <v/>
      </c>
      <c r="H34" s="58" t="str">
        <f t="shared" si="0"/>
        <v/>
      </c>
      <c r="I34" s="58" t="str">
        <f t="shared" si="1"/>
        <v/>
      </c>
      <c r="J34" s="57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5" t="str">
        <f t="shared" si="7"/>
        <v/>
      </c>
      <c r="P34" s="66"/>
      <c r="Q34" s="71" t="str">
        <f t="shared" si="8"/>
        <v>X</v>
      </c>
      <c r="R34" s="71" t="str">
        <f t="shared" si="9"/>
        <v>X</v>
      </c>
      <c r="S34" s="71" t="str">
        <f t="shared" si="10"/>
        <v>X</v>
      </c>
      <c r="T34" s="71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 t="shared" si="12"/>
        <v/>
      </c>
      <c r="G35" s="61" t="str">
        <f t="shared" si="13"/>
        <v/>
      </c>
      <c r="H35" s="61" t="str">
        <f t="shared" si="0"/>
        <v/>
      </c>
      <c r="I35" s="61" t="str">
        <f t="shared" si="1"/>
        <v/>
      </c>
      <c r="J35" s="62" t="str">
        <f t="shared" si="2"/>
        <v/>
      </c>
      <c r="K35" s="67" t="str">
        <f t="shared" si="3"/>
        <v/>
      </c>
      <c r="L35" s="67" t="str">
        <f t="shared" si="4"/>
        <v/>
      </c>
      <c r="M35" s="67" t="str">
        <f t="shared" si="5"/>
        <v/>
      </c>
      <c r="N35" s="67" t="str">
        <f t="shared" si="6"/>
        <v/>
      </c>
      <c r="O35" s="68" t="str">
        <f t="shared" si="7"/>
        <v/>
      </c>
      <c r="P35" s="69"/>
      <c r="Q35" s="72" t="str">
        <f t="shared" si="8"/>
        <v>X</v>
      </c>
      <c r="R35" s="72" t="str">
        <f t="shared" si="9"/>
        <v>X</v>
      </c>
      <c r="S35" s="72" t="str">
        <f t="shared" si="10"/>
        <v>X</v>
      </c>
      <c r="T35" s="72" t="str">
        <f t="shared" si="11"/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 t="shared" si="12"/>
        <v/>
      </c>
      <c r="G36" s="58" t="str">
        <f t="shared" si="13"/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 t="shared" si="12"/>
        <v/>
      </c>
      <c r="G37" s="61" t="str">
        <f t="shared" si="13"/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 t="shared" si="12"/>
        <v/>
      </c>
      <c r="G38" s="58" t="str">
        <f t="shared" si="13"/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 t="shared" si="12"/>
        <v/>
      </c>
      <c r="G39" s="61" t="str">
        <f t="shared" si="13"/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 t="shared" si="12"/>
        <v/>
      </c>
      <c r="G40" s="58" t="str">
        <f t="shared" si="13"/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 t="shared" si="12"/>
        <v/>
      </c>
      <c r="G41" s="61" t="str">
        <f t="shared" si="13"/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 t="shared" si="12"/>
        <v/>
      </c>
      <c r="G42" s="58" t="str">
        <f t="shared" si="13"/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 t="shared" si="12"/>
        <v/>
      </c>
      <c r="G43" s="61" t="str">
        <f t="shared" si="13"/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 t="shared" si="12"/>
        <v/>
      </c>
      <c r="G44" s="58" t="str">
        <f t="shared" si="13"/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 t="shared" si="12"/>
        <v/>
      </c>
      <c r="G45" s="61" t="str">
        <f t="shared" si="13"/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 t="shared" si="12"/>
        <v/>
      </c>
      <c r="G46" s="58" t="str">
        <f t="shared" si="13"/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 t="shared" si="12"/>
        <v/>
      </c>
      <c r="G47" s="61" t="str">
        <f t="shared" si="13"/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 t="shared" si="12"/>
        <v/>
      </c>
      <c r="G48" s="58" t="str">
        <f t="shared" si="13"/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 t="shared" si="12"/>
        <v/>
      </c>
      <c r="G49" s="61" t="str">
        <f t="shared" si="13"/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 t="shared" si="12"/>
        <v/>
      </c>
      <c r="G50" s="58" t="str">
        <f t="shared" si="13"/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 t="shared" si="12"/>
        <v/>
      </c>
      <c r="G51" s="61" t="str">
        <f t="shared" si="13"/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 t="shared" si="12"/>
        <v/>
      </c>
      <c r="G52" s="58" t="str">
        <f t="shared" si="13"/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 t="shared" si="12"/>
        <v/>
      </c>
      <c r="G53" s="61" t="str">
        <f t="shared" si="13"/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 t="shared" si="12"/>
        <v/>
      </c>
      <c r="G54" s="58" t="str">
        <f t="shared" si="13"/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 t="shared" si="12"/>
        <v/>
      </c>
      <c r="G55" s="61" t="str">
        <f t="shared" si="13"/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 t="shared" si="12"/>
        <v/>
      </c>
      <c r="G56" s="58" t="str">
        <f t="shared" si="13"/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 t="shared" si="12"/>
        <v/>
      </c>
      <c r="G57" s="61" t="str">
        <f t="shared" si="13"/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 t="shared" si="12"/>
        <v/>
      </c>
      <c r="G58" s="58" t="str">
        <f t="shared" si="13"/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 t="shared" si="12"/>
        <v/>
      </c>
      <c r="G59" s="61" t="str">
        <f t="shared" si="13"/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 t="shared" si="12"/>
        <v/>
      </c>
      <c r="G60" s="58" t="str">
        <f t="shared" si="13"/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 t="shared" si="12"/>
        <v/>
      </c>
      <c r="G61" s="61" t="str">
        <f t="shared" si="13"/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$1:E$1048576" name="区域1"/>
  </protectedRanges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AI2:AI3">
    <cfRule type="cellIs" dxfId="0" priority="16" operator="equal">
      <formula>1</formula>
    </cfRule>
  </conditionalFormatting>
  <conditionalFormatting sqref="AI4:AI61">
    <cfRule type="cellIs" dxfId="0" priority="2" operator="equal">
      <formula>1</formula>
    </cfRule>
  </conditionalFormatting>
  <conditionalFormatting sqref="AL1 U62:AF1048576 AJ62:AK1048576">
    <cfRule type="cellIs" priority="23" operator="notEqual">
      <formula>0</formula>
    </cfRule>
  </conditionalFormatting>
  <conditionalFormatting sqref="U2:AF3">
    <cfRule type="cellIs" dxfId="0" priority="14" operator="equal">
      <formula>1</formula>
    </cfRule>
  </conditionalFormatting>
  <conditionalFormatting sqref="AG2:AH3">
    <cfRule type="cellIs" dxfId="0" priority="19" operator="equal">
      <formula>1</formula>
    </cfRule>
  </conditionalFormatting>
  <conditionalFormatting sqref="AJ2:AK3">
    <cfRule type="cellIs" dxfId="0" priority="27" operator="equal">
      <formula>1</formula>
    </cfRule>
  </conditionalFormatting>
  <conditionalFormatting sqref="AL2:AM3">
    <cfRule type="cellIs" dxfId="0" priority="24" operator="equal">
      <formula>1</formula>
    </cfRule>
  </conditionalFormatting>
  <conditionalFormatting sqref="U4:AF61">
    <cfRule type="cellIs" dxfId="0" priority="1" operator="equal">
      <formula>1</formula>
    </cfRule>
  </conditionalFormatting>
  <conditionalFormatting sqref="AG4:AH61">
    <cfRule type="cellIs" dxfId="0" priority="3" operator="equal">
      <formula>1</formula>
    </cfRule>
  </conditionalFormatting>
  <conditionalFormatting sqref="AJ4:AK61">
    <cfRule type="cellIs" dxfId="0" priority="5" operator="equal">
      <formula>1</formula>
    </cfRule>
  </conditionalFormatting>
  <conditionalFormatting sqref="AL4:AM61">
    <cfRule type="cellIs" dxfId="0" priority="4" operator="equal">
      <formula>1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U26:AF1048576 AG$1:AM$1048576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workbookViewId="0">
      <pane ySplit="1" topLeftCell="A10" activePane="bottomLeft" state="frozen"/>
      <selection/>
      <selection pane="bottomLeft" activeCell="AD58" sqref="AD58"/>
    </sheetView>
  </sheetViews>
  <sheetFormatPr defaultColWidth="9" defaultRowHeight="13.85"/>
  <cols>
    <col min="1" max="1" width="8.33628318584071" style="18" customWidth="1"/>
    <col min="2" max="3" width="9.50442477876106" style="18" customWidth="1"/>
    <col min="4" max="4" width="8.58407079646018" style="18" customWidth="1"/>
    <col min="5" max="7" width="4.58407079646018" style="18" hidden="1" customWidth="1"/>
    <col min="8" max="8" width="4.24778761061947" style="18" hidden="1" customWidth="1"/>
    <col min="9" max="14" width="4.58407079646018" style="18" hidden="1" customWidth="1"/>
    <col min="15" max="15" width="23.5044247787611" style="18" customWidth="1"/>
    <col min="16" max="19" width="4.58407079646018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63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SLL</v>
      </c>
      <c r="AE1" s="35" t="str">
        <f>真值表!AF1</f>
        <v>XOR</v>
      </c>
      <c r="AF1" s="47" t="str">
        <f>真值表!AG1</f>
        <v>LB</v>
      </c>
      <c r="AG1" s="47" t="str">
        <f>真值表!AH1</f>
        <v>BLTU</v>
      </c>
      <c r="AH1" s="47" t="str">
        <f>真值表!AI1</f>
        <v>CSRRSI</v>
      </c>
      <c r="AI1" s="47" t="str">
        <f>真值表!AJ1</f>
        <v>CSRRCI</v>
      </c>
      <c r="AJ1" s="47" t="str">
        <f>真值表!AK1</f>
        <v>XXX</v>
      </c>
      <c r="AK1" s="47" t="str">
        <f>真值表!AL1</f>
        <v>XXX</v>
      </c>
      <c r="AL1" s="47" t="str">
        <f>真值表!AM1</f>
        <v>XXX</v>
      </c>
    </row>
    <row r="2" ht="16.5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str">
        <f>IF(真值表!AE2=1,$O2&amp;"+","")</f>
        <v/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/>
      </c>
      <c r="AH2" s="38" t="str">
        <f>IF(真值表!AI2=1,$O2&amp;"+","")</f>
        <v/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5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/>
      </c>
      <c r="AH3" s="41" t="str">
        <f>IF(真值表!AI3=1,$O3&amp;"+","")</f>
        <v/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5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/>
      </c>
      <c r="AH4" s="38" t="str">
        <f>IF(真值表!AI4=1,$O4&amp;"+","")</f>
        <v/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5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/>
      </c>
      <c r="AH5" s="41" t="str">
        <f>IF(真值表!AI5=1,$O5&amp;"+","")</f>
        <v/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5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/>
      </c>
      <c r="AH6" s="38" t="str">
        <f>IF(真值表!AI6=1,$O6&amp;"+","")</f>
        <v/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5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/>
      </c>
      <c r="AH7" s="41" t="str">
        <f>IF(真值表!AI7=1,$O7&amp;"+","")</f>
        <v/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5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/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5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/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5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/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5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/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5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/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5" spans="1:38">
      <c r="A13" s="27" t="str">
        <f>IF(ISBLANK(真值表!B13),"",真值表!B13)</f>
        <v>slli</v>
      </c>
      <c r="B13" s="28">
        <f>IF(ISBLANK(真值表!C13),"",真值表!C13)</f>
        <v>0</v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>~F30&amp;</v>
      </c>
      <c r="F13" s="31" t="str">
        <f>IF(真值表!G13=1," "&amp;真值表!G$1&amp;"&amp;",IF(真值表!G13=0,"~"&amp;真值表!G$1&amp;"&amp;",""))</f>
        <v>~F25&amp;</v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~F30&amp;~F25&amp;~F14&amp;~F13&amp;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~F30&amp;~F25&amp;~F14&amp;~F13&amp; F12&amp;~OP6&amp;~OP5&amp; OP4&amp;~OP3&amp;~OP2+</v>
      </c>
      <c r="W13" s="41" t="str">
        <f>IF(真值表!X13=1,$O13&amp;"+","")</f>
        <v>~F30&amp;~F25&amp;~F14&amp;~F13&amp;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/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5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/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5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/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5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/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5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/>
      </c>
      <c r="AH17" s="41" t="str">
        <f>IF(真值表!AI17=1,$O17&amp;"+","")</f>
        <v/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5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/>
      </c>
      <c r="AH18" s="38" t="str">
        <f>IF(真值表!AI18=1,$O18&amp;"+","")</f>
        <v/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5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/>
      </c>
      <c r="R19" s="41" t="str">
        <f>IF(真值表!S19=1,$O19&amp;"+","")</f>
        <v/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/>
      </c>
      <c r="AH19" s="41" t="str">
        <f>IF(真值表!AI19=1,$O19&amp;"+","")</f>
        <v/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5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/>
      </c>
      <c r="R20" s="38" t="str">
        <f>IF(真值表!S20=1,$O20&amp;"+","")</f>
        <v/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/>
      </c>
      <c r="AH20" s="38" t="str">
        <f>IF(真值表!AI20=1,$O20&amp;"+","")</f>
        <v/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5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5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/>
      </c>
      <c r="R22" s="38" t="str">
        <f>IF(真值表!S22=1,$O22&amp;"+","")</f>
        <v/>
      </c>
      <c r="S22" s="38" t="str">
        <f>IF(真值表!T22=1,$O22&amp;"+","")</f>
        <v/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/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/>
      </c>
      <c r="AH22" s="38" t="str">
        <f>IF(真值表!AI22=1,$O22&amp;"+","")</f>
        <v/>
      </c>
      <c r="AI22" s="38" t="str">
        <f>IF(真值表!AJ22=1,$O22&amp;"+","")</f>
        <v/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5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/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/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/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> F14&amp; F13&amp;~F12&amp; OP6&amp; OP5&amp; OP4&amp;~OP3&amp;~OP2+</v>
      </c>
      <c r="AI23" s="41" t="str">
        <f>IF(真值表!AJ23=1,$O23&amp;"+","")</f>
        <v/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5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/>
      </c>
      <c r="R24" s="38" t="str">
        <f>IF(真值表!S24=1,$O24&amp;"+","")</f>
        <v/>
      </c>
      <c r="S24" s="38" t="str">
        <f>IF(真值表!T24=1,$O24&amp;"+","")</f>
        <v/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/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/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> F14&amp; F13&amp; F12&amp; OP6&amp; OP5&amp; OP4&amp;~OP3&amp;~OP2+</v>
      </c>
      <c r="AJ24" s="38" t="str">
        <f>IF(真值表!AK24=1,$O24&amp;"+","")</f>
        <v/>
      </c>
      <c r="AK24" s="38" t="str">
        <f>IF(真值表!AL24=1,$O24&amp;"+","")</f>
        <v/>
      </c>
      <c r="AL24" s="38" t="str">
        <f>IF(真值表!AM24=1,$O24&amp;"+","")</f>
        <v/>
      </c>
    </row>
    <row r="25" ht="16.5" spans="1:38">
      <c r="A25" s="27" t="str">
        <f>IF(ISBLANK(真值表!B25),"",真值表!B25)</f>
        <v>URET</v>
      </c>
      <c r="B25" s="28">
        <f>IF(ISBLANK(真值表!C25),"",真值表!C25)</f>
        <v>0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/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5" spans="1:38">
      <c r="A26" s="23" t="str">
        <f>IF(ISBLANK(真值表!B26),"",真值表!B26)</f>
        <v>SLL</v>
      </c>
      <c r="B26" s="24">
        <f>IF(ISBLANK(真值表!C26),"",真值表!C26)</f>
        <v>0</v>
      </c>
      <c r="C26" s="24">
        <f>IF(ISBLANK(真值表!D26),"",真值表!D26)</f>
        <v>1</v>
      </c>
      <c r="D26" s="25" t="str">
        <f>IF(ISBLANK(真值表!E26),"",真值表!E26)</f>
        <v>c</v>
      </c>
      <c r="E26" s="26" t="str">
        <f>IF(真值表!F26=1," "&amp;真值表!F$1&amp;"&amp;",IF(真值表!F26=0,"~"&amp;真值表!F$1&amp;"&amp;",""))</f>
        <v>~F30&amp;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~F14&amp;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 F12&amp;</v>
      </c>
      <c r="J26" s="36" t="str">
        <f>IF(真值表!K26=1," "&amp;真值表!K$1&amp;"&amp;",IF(真值表!K26=0,"~"&amp;真值表!K$1&amp;"&amp;",""))</f>
        <v>~OP6&amp;</v>
      </c>
      <c r="K26" s="36" t="str">
        <f>IF(真值表!L26=1," "&amp;真值表!L$1&amp;"&amp;",IF(真值表!L26=0,"~"&amp;真值表!L$1&amp;"&amp;",""))</f>
        <v> OP5&amp;</v>
      </c>
      <c r="L26" s="36" t="str">
        <f>IF(真值表!M26=1," "&amp;真值表!M$1&amp;"&amp;",IF(真值表!M26=0,"~"&amp;真值表!M$1&amp;"&amp;",""))</f>
        <v> OP4&amp;</v>
      </c>
      <c r="M26" s="36" t="str">
        <f>IF(真值表!N26=1," "&amp;真值表!N$1&amp;"&amp;",IF(真值表!N26=0,"~"&amp;真值表!N$1&amp;"&amp;",""))</f>
        <v>~OP3&amp;</v>
      </c>
      <c r="N26" s="36" t="str">
        <f>IF(真值表!O26=1," "&amp;真值表!O$1&amp;"&amp;",IF(真值表!O26=0,"~"&amp;真值表!O$1&amp;"&amp;",""))</f>
        <v>~OP2&amp;</v>
      </c>
      <c r="O26" s="37" t="str">
        <f t="shared" si="1"/>
        <v>~F30&amp;~F25&amp;~F14&amp;~F13&amp; F12&amp;~OP6&amp; OP5&amp; OP4&amp;~OP3&amp;~OP2</v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/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>~F30&amp;~F25&amp;~F14&amp;~F13&amp; F12&amp;~OP6&amp; OP5&amp; OP4&amp;~OP3&amp;~OP2+</v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>~F30&amp;~F25&amp;~F14&amp;~F13&amp; F12&amp;~OP6&amp; OP5&amp; OP4&amp;~OP3&amp;~OP2+</v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/>
      </c>
      <c r="AH26" s="38" t="str">
        <f>IF(真值表!AI26=1,$O26&amp;"+","")</f>
        <v/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5" spans="1:38">
      <c r="A27" s="27" t="str">
        <f>IF(ISBLANK(真值表!B27),"",真值表!B27)</f>
        <v>XOR</v>
      </c>
      <c r="B27" s="28">
        <f>IF(ISBLANK(真值表!C27),"",真值表!C27)</f>
        <v>0</v>
      </c>
      <c r="C27" s="29">
        <f>IF(ISBLANK(真值表!D27),"",真值表!D27)</f>
        <v>4</v>
      </c>
      <c r="D27" s="30" t="str">
        <f>IF(ISBLANK(真值表!E27),"",真值表!E27)</f>
        <v>c</v>
      </c>
      <c r="E27" s="31" t="str">
        <f>IF(真值表!F27=1," "&amp;真值表!F$1&amp;"&amp;",IF(真值表!F27=0,"~"&amp;真值表!F$1&amp;"&amp;",""))</f>
        <v>~F30&amp;</v>
      </c>
      <c r="F27" s="31" t="str">
        <f>IF(真值表!G27=1," "&amp;真值表!G$1&amp;"&amp;",IF(真值表!G27=0,"~"&amp;真值表!G$1&amp;"&amp;",""))</f>
        <v>~F25&amp;</v>
      </c>
      <c r="G27" s="31" t="str">
        <f>IF(真值表!H27=1," "&amp;真值表!H$1&amp;"&amp;",IF(真值表!H27=0,"~"&amp;真值表!H$1&amp;"&amp;",""))</f>
        <v> F14&amp;</v>
      </c>
      <c r="H27" s="31" t="str">
        <f>IF(真值表!I27=1," "&amp;真值表!I$1&amp;"&amp;",IF(真值表!I27=0,"~"&amp;真值表!I$1&amp;"&amp;",""))</f>
        <v>~F13&amp;</v>
      </c>
      <c r="I27" s="31" t="str">
        <f>IF(真值表!J27=1," "&amp;真值表!J$1&amp;"&amp;",IF(真值表!J27=0,"~"&amp;真值表!J$1&amp;"&amp;",""))</f>
        <v>~F12&amp;</v>
      </c>
      <c r="J27" s="39" t="str">
        <f>IF(真值表!K27=1," "&amp;真值表!K$1&amp;"&amp;",IF(真值表!K27=0,"~"&amp;真值表!K$1&amp;"&amp;",""))</f>
        <v>~OP6&amp;</v>
      </c>
      <c r="K27" s="39" t="str">
        <f>IF(真值表!L27=1," "&amp;真值表!L$1&amp;"&amp;",IF(真值表!L27=0,"~"&amp;真值表!L$1&amp;"&amp;",""))</f>
        <v> OP5&amp;</v>
      </c>
      <c r="L27" s="39" t="str">
        <f>IF(真值表!M27=1," "&amp;真值表!M$1&amp;"&amp;",IF(真值表!M27=0,"~"&amp;真值表!M$1&amp;"&amp;",""))</f>
        <v> OP4&amp;</v>
      </c>
      <c r="M27" s="39" t="str">
        <f>IF(真值表!N27=1," "&amp;真值表!N$1&amp;"&amp;",IF(真值表!N27=0,"~"&amp;真值表!N$1&amp;"&amp;",""))</f>
        <v>~OP3&amp;</v>
      </c>
      <c r="N27" s="39" t="str">
        <f>IF(真值表!O27=1," "&amp;真值表!O$1&amp;"&amp;",IF(真值表!O27=0,"~"&amp;真值表!O$1&amp;"&amp;",""))</f>
        <v>~OP2&amp;</v>
      </c>
      <c r="O27" s="40" t="str">
        <f t="shared" si="1"/>
        <v>~F30&amp;~F25&amp; F14&amp;~F13&amp;~F12&amp;~OP6&amp; OP5&amp; OP4&amp;~OP3&amp;~OP2</v>
      </c>
      <c r="P27" s="41" t="str">
        <f>IF(真值表!Q27=1,$O27&amp;"+","")</f>
        <v>~F30&amp;~F25&amp; F14&amp;~F13&amp;~F12&amp;~OP6&amp; OP5&amp; OP4&amp;~OP3&amp;~OP2+</v>
      </c>
      <c r="Q27" s="41" t="str">
        <f>IF(真值表!R27=1,$O27&amp;"+","")</f>
        <v/>
      </c>
      <c r="R27" s="41" t="str">
        <f>IF(真值表!S27=1,$O27&amp;"+","")</f>
        <v/>
      </c>
      <c r="S27" s="41" t="str">
        <f>IF(真值表!T27=1,$O27&amp;"+","")</f>
        <v>~F30&amp;~F25&amp; F14&amp;~F13&amp;~F12&amp;~OP6&amp; OP5&amp; OP4&amp;~OP3&amp;~OP2+</v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/>
      </c>
      <c r="W27" s="41" t="str">
        <f>IF(真值表!X27=1,$O27&amp;"+","")</f>
        <v>~F30&amp;~F25&amp; F14&amp;~F13&amp;~F12&amp;~OP6&amp; OP5&amp; OP4&amp;~OP3&amp;~OP2+</v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/>
      </c>
      <c r="AE27" s="41" t="str">
        <f>IF(真值表!AF27=1,$O27&amp;"+","")</f>
        <v>~F30&amp;~F25&amp; F14&amp;~F13&amp;~F12&amp;~OP6&amp; OP5&amp; OP4&amp;~OP3&amp;~OP2+</v>
      </c>
      <c r="AF27" s="41" t="str">
        <f>IF(真值表!AG27=1,$O27&amp;"+","")</f>
        <v/>
      </c>
      <c r="AG27" s="41" t="str">
        <f>IF(真值表!AH27=1,$O27&amp;"+","")</f>
        <v/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5" spans="1:38">
      <c r="A28" s="23" t="str">
        <f>IF(ISBLANK(真值表!B28),"",真值表!B28)</f>
        <v>LB</v>
      </c>
      <c r="B28" s="24" t="str">
        <f>IF(ISBLANK(真值表!C28),"",真值表!C28)</f>
        <v/>
      </c>
      <c r="C28" s="24">
        <f>IF(ISBLANK(真值表!D28),"",真值表!D28)</f>
        <v>0</v>
      </c>
      <c r="D28" s="25">
        <f>IF(ISBLANK(真值表!E28),"",真值表!E28)</f>
        <v>0</v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>~F14&amp;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~F12&amp;</v>
      </c>
      <c r="J28" s="36" t="str">
        <f>IF(真值表!K28=1," "&amp;真值表!K$1&amp;"&amp;",IF(真值表!K28=0,"~"&amp;真值表!K$1&amp;"&amp;",""))</f>
        <v>~OP6&amp;</v>
      </c>
      <c r="K28" s="36" t="str">
        <f>IF(真值表!L28=1," "&amp;真值表!L$1&amp;"&amp;",IF(真值表!L28=0,"~"&amp;真值表!L$1&amp;"&amp;",""))</f>
        <v>~OP5&amp;</v>
      </c>
      <c r="L28" s="36" t="str">
        <f>IF(真值表!M28=1," "&amp;真值表!M$1&amp;"&amp;",IF(真值表!M28=0,"~"&amp;真值表!M$1&amp;"&amp;",""))</f>
        <v>~OP4&amp;</v>
      </c>
      <c r="M28" s="36" t="str">
        <f>IF(真值表!N28=1," "&amp;真值表!N$1&amp;"&amp;",IF(真值表!N28=0,"~"&amp;真值表!N$1&amp;"&amp;",""))</f>
        <v>~OP3&amp;</v>
      </c>
      <c r="N28" s="36" t="str">
        <f>IF(真值表!O28=1," "&amp;真值表!O$1&amp;"&amp;",IF(真值表!O28=0,"~"&amp;真值表!O$1&amp;"&amp;",""))</f>
        <v>~OP2&amp;</v>
      </c>
      <c r="O28" s="37" t="str">
        <f t="shared" si="1"/>
        <v>~F14&amp;~F13&amp;~F12&amp;~OP6&amp;~OP5&amp;~OP4&amp;~OP3&amp;~OP2</v>
      </c>
      <c r="P28" s="38" t="str">
        <f>IF(真值表!Q28=1,$O28&amp;"+","")</f>
        <v/>
      </c>
      <c r="Q28" s="38" t="str">
        <f>IF(真值表!R28=1,$O28&amp;"+","")</f>
        <v>~F14&amp;~F13&amp;~F12&amp;~OP6&amp;~OP5&amp;~OP4&amp;~OP3&amp;~OP2+</v>
      </c>
      <c r="R28" s="38" t="str">
        <f>IF(真值表!S28=1,$O28&amp;"+","")</f>
        <v/>
      </c>
      <c r="S28" s="38" t="str">
        <f>IF(真值表!T28=1,$O28&amp;"+","")</f>
        <v>~F14&amp;~F13&amp;~F12&amp;~OP6&amp;~OP5&amp;~OP4&amp;~OP3&amp;~OP2+</v>
      </c>
      <c r="T28" s="38" t="str">
        <f>IF(真值表!U28=1,$O28&amp;"+","")</f>
        <v>~F14&amp;~F13&amp;~F12&amp;~OP6&amp;~OP5&amp;~OP4&amp;~OP3&amp;~OP2+</v>
      </c>
      <c r="U28" s="38" t="str">
        <f>IF(真值表!V28=1,$O28&amp;"+","")</f>
        <v/>
      </c>
      <c r="V28" s="38" t="str">
        <f>IF(真值表!W28=1,$O28&amp;"+","")</f>
        <v>~F14&amp;~F13&amp;~F12&amp;~OP6&amp;~OP5&amp;~OP4&amp;~OP3&amp;~OP2+</v>
      </c>
      <c r="W28" s="38" t="str">
        <f>IF(真值表!X28=1,$O28&amp;"+","")</f>
        <v>~F14&amp;~F13&amp;~F12&amp;~OP6&amp;~OP5&amp;~OP4&amp;~OP3&amp;~OP2+</v>
      </c>
      <c r="X28" s="38" t="str">
        <f>IF(真值表!Y28=1,$O28&amp;"+","")</f>
        <v/>
      </c>
      <c r="Y28" s="38" t="str">
        <f>IF(真值表!Z28=1,$O28&amp;"+","")</f>
        <v/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/>
      </c>
      <c r="AE28" s="38" t="str">
        <f>IF(真值表!AF28=1,$O28&amp;"+","")</f>
        <v/>
      </c>
      <c r="AF28" s="38" t="str">
        <f>IF(真值表!AG28=1,$O28&amp;"+","")</f>
        <v>~F14&amp;~F13&amp;~F12&amp;~OP6&amp;~OP5&amp;~OP4&amp;~OP3&amp;~OP2+</v>
      </c>
      <c r="AG28" s="38" t="str">
        <f>IF(真值表!AH28=1,$O28&amp;"+","")</f>
        <v/>
      </c>
      <c r="AH28" s="38" t="str">
        <f>IF(真值表!AI28=1,$O28&amp;"+","")</f>
        <v/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5" spans="1:38">
      <c r="A29" s="27" t="str">
        <f>IF(ISBLANK(真值表!B29),"",真值表!B29)</f>
        <v>BLTU</v>
      </c>
      <c r="B29" s="28" t="str">
        <f>IF(ISBLANK(真值表!C29),"",真值表!C29)</f>
        <v/>
      </c>
      <c r="C29" s="29">
        <f>IF(ISBLANK(真值表!D29),"",真值表!D29)</f>
        <v>6</v>
      </c>
      <c r="D29" s="30">
        <f>IF(ISBLANK(真值表!E29),"",真值表!E29)</f>
        <v>18</v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> F14&amp;</v>
      </c>
      <c r="H29" s="31" t="str">
        <f>IF(真值表!I29=1," "&amp;真值表!I$1&amp;"&amp;",IF(真值表!I29=0,"~"&amp;真值表!I$1&amp;"&amp;",""))</f>
        <v> F13&amp;</v>
      </c>
      <c r="I29" s="31" t="str">
        <f>IF(真值表!J29=1," "&amp;真值表!J$1&amp;"&amp;",IF(真值表!J29=0,"~"&amp;真值表!J$1&amp;"&amp;",""))</f>
        <v>~F12&amp;</v>
      </c>
      <c r="J29" s="39" t="str">
        <f>IF(真值表!K29=1," "&amp;真值表!K$1&amp;"&amp;",IF(真值表!K29=0,"~"&amp;真值表!K$1&amp;"&amp;",""))</f>
        <v> OP6&amp;</v>
      </c>
      <c r="K29" s="39" t="str">
        <f>IF(真值表!L29=1," "&amp;真值表!L$1&amp;"&amp;",IF(真值表!L29=0,"~"&amp;真值表!L$1&amp;"&amp;",""))</f>
        <v> OP5&amp;</v>
      </c>
      <c r="L29" s="39" t="str">
        <f>IF(真值表!M29=1," "&amp;真值表!M$1&amp;"&amp;",IF(真值表!M29=0,"~"&amp;真值表!M$1&amp;"&amp;",""))</f>
        <v>~OP4&amp;</v>
      </c>
      <c r="M29" s="39" t="str">
        <f>IF(真值表!N29=1," "&amp;真值表!N$1&amp;"&amp;",IF(真值表!N29=0,"~"&amp;真值表!N$1&amp;"&amp;",""))</f>
        <v>~OP3&amp;</v>
      </c>
      <c r="N29" s="39" t="str">
        <f>IF(真值表!O29=1," "&amp;真值表!O$1&amp;"&amp;",IF(真值表!O29=0,"~"&amp;真值表!O$1&amp;"&amp;",""))</f>
        <v>~OP2&amp;</v>
      </c>
      <c r="O29" s="40" t="str">
        <f t="shared" si="1"/>
        <v> F14&amp; F13&amp;~F12&amp; OP6&amp; OP5&amp;~OP4&amp;~OP3&amp;~OP2</v>
      </c>
      <c r="P29" s="41" t="str">
        <f>IF(真值表!Q29=1,$O29&amp;"+","")</f>
        <v> F14&amp; F13&amp;~F12&amp; OP6&amp; OP5&amp;~OP4&amp;~OP3&amp;~OP2+</v>
      </c>
      <c r="Q29" s="41" t="str">
        <f>IF(真值表!R29=1,$O29&amp;"+","")</f>
        <v> F14&amp; F13&amp;~F12&amp; OP6&amp; OP5&amp;~OP4&amp;~OP3&amp;~OP2+</v>
      </c>
      <c r="R29" s="41" t="str">
        <f>IF(真值表!S29=1,$O29&amp;"+","")</f>
        <v/>
      </c>
      <c r="S29" s="41" t="str">
        <f>IF(真值表!T29=1,$O29&amp;"+","")</f>
        <v/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str">
        <f>IF(真值表!AD29=1,$O29&amp;"+","")</f>
        <v/>
      </c>
      <c r="AD29" s="41" t="str">
        <f>IF(真值表!AE29=1,$O29&amp;"+","")</f>
        <v/>
      </c>
      <c r="AE29" s="41" t="str">
        <f>IF(真值表!AF29=1,$O29&amp;"+","")</f>
        <v/>
      </c>
      <c r="AF29" s="41" t="str">
        <f>IF(真值表!AG29=1,$O29&amp;"+","")</f>
        <v/>
      </c>
      <c r="AG29" s="41" t="str">
        <f>IF(真值表!AH29=1,$O29&amp;"+","")</f>
        <v> F14&amp; F13&amp;~F12&amp; OP6&amp; OP5&amp;~OP4&amp;~OP3&amp;~OP2+</v>
      </c>
      <c r="AH29" s="41" t="str">
        <f>IF(真值表!AI29=1,$O29&amp;"+","")</f>
        <v/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5" spans="1:38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6" t="str">
        <f>IF(真值表!K30=1," "&amp;真值表!K$1&amp;"&amp;",IF(真值表!K30=0,"~"&amp;真值表!K$1&amp;"&amp;",""))</f>
        <v/>
      </c>
      <c r="K30" s="36" t="str">
        <f>IF(真值表!L30=1," "&amp;真值表!L$1&amp;"&amp;",IF(真值表!L30=0,"~"&amp;真值表!L$1&amp;"&amp;",""))</f>
        <v/>
      </c>
      <c r="L30" s="36" t="str">
        <f>IF(真值表!M30=1," "&amp;真值表!M$1&amp;"&amp;",IF(真值表!M30=0,"~"&amp;真值表!M$1&amp;"&amp;",""))</f>
        <v/>
      </c>
      <c r="M30" s="36" t="str">
        <f>IF(真值表!N30=1," "&amp;真值表!N$1&amp;"&amp;",IF(真值表!N30=0,"~"&amp;真值表!N$1&amp;"&amp;",""))</f>
        <v/>
      </c>
      <c r="N30" s="36" t="str">
        <f>IF(真值表!O30=1," "&amp;真值表!O$1&amp;"&amp;",IF(真值表!O30=0,"~"&amp;真值表!O$1&amp;"&amp;",""))</f>
        <v/>
      </c>
      <c r="O30" s="37" t="str">
        <f t="shared" si="1"/>
        <v/>
      </c>
      <c r="P30" s="38" t="str">
        <f>IF(真值表!Q30=1,$O30&amp;"+","")</f>
        <v/>
      </c>
      <c r="Q30" s="38" t="str">
        <f>IF(真值表!R30=1,$O30&amp;"+","")</f>
        <v/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/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IF(真值表!AD30=1,$O30&amp;"+","")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/>
      </c>
      <c r="AH30" s="38" t="str">
        <f>IF(真值表!AI30=1,$O30&amp;"+","")</f>
        <v/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5" spans="1:38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9" t="str">
        <f>IF(真值表!K31=1," "&amp;真值表!K$1&amp;"&amp;",IF(真值表!K31=0,"~"&amp;真值表!K$1&amp;"&amp;",""))</f>
        <v/>
      </c>
      <c r="K31" s="39" t="str">
        <f>IF(真值表!L31=1," "&amp;真值表!L$1&amp;"&amp;",IF(真值表!L31=0,"~"&amp;真值表!L$1&amp;"&amp;",""))</f>
        <v/>
      </c>
      <c r="L31" s="39" t="str">
        <f>IF(真值表!M31=1," "&amp;真值表!M$1&amp;"&amp;",IF(真值表!M31=0,"~"&amp;真值表!M$1&amp;"&amp;",""))</f>
        <v/>
      </c>
      <c r="M31" s="39" t="str">
        <f>IF(真值表!N31=1," "&amp;真值表!N$1&amp;"&amp;",IF(真值表!N31=0,"~"&amp;真值表!N$1&amp;"&amp;",""))</f>
        <v/>
      </c>
      <c r="N31" s="39" t="str">
        <f>IF(真值表!O31=1," "&amp;真值表!O$1&amp;"&amp;",IF(真值表!O31=0,"~"&amp;真值表!O$1&amp;"&amp;",""))</f>
        <v/>
      </c>
      <c r="O31" s="40" t="str">
        <f t="shared" si="1"/>
        <v/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/>
      </c>
      <c r="S31" s="41" t="str">
        <f>IF(真值表!T31=1,$O31&amp;"+","")</f>
        <v/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/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/>
      </c>
      <c r="AH31" s="41" t="str">
        <f>IF(真值表!AI31=1,$O31&amp;"+","")</f>
        <v/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5" spans="1:38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6" t="str">
        <f>IF(真值表!K32=1," "&amp;真值表!K$1&amp;"&amp;",IF(真值表!K32=0,"~"&amp;真值表!K$1&amp;"&amp;",""))</f>
        <v/>
      </c>
      <c r="K32" s="36" t="str">
        <f>IF(真值表!L32=1," "&amp;真值表!L$1&amp;"&amp;",IF(真值表!L32=0,"~"&amp;真值表!L$1&amp;"&amp;",""))</f>
        <v/>
      </c>
      <c r="L32" s="36" t="str">
        <f>IF(真值表!M32=1," "&amp;真值表!M$1&amp;"&amp;",IF(真值表!M32=0,"~"&amp;真值表!M$1&amp;"&amp;",""))</f>
        <v/>
      </c>
      <c r="M32" s="36" t="str">
        <f>IF(真值表!N32=1," "&amp;真值表!N$1&amp;"&amp;",IF(真值表!N32=0,"~"&amp;真值表!N$1&amp;"&amp;",""))</f>
        <v/>
      </c>
      <c r="N32" s="36" t="str">
        <f>IF(真值表!O32=1," "&amp;真值表!O$1&amp;"&amp;",IF(真值表!O32=0,"~"&amp;真值表!O$1&amp;"&amp;",""))</f>
        <v/>
      </c>
      <c r="O32" s="37" t="str">
        <f t="shared" si="1"/>
        <v/>
      </c>
      <c r="P32" s="38" t="str">
        <f>IF(真值表!Q32=1,$O32&amp;"+","")</f>
        <v/>
      </c>
      <c r="Q32" s="38" t="str">
        <f>IF(真值表!R32=1,$O32&amp;"+","")</f>
        <v/>
      </c>
      <c r="R32" s="38" t="str">
        <f>IF(真值表!S32=1,$O32&amp;"+","")</f>
        <v/>
      </c>
      <c r="S32" s="38" t="str">
        <f>IF(真值表!T32=1,$O32&amp;"+","")</f>
        <v/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/>
      </c>
      <c r="AH32" s="38" t="str">
        <f>IF(真值表!AI32=1,$O32&amp;"+","")</f>
        <v/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/>
      </c>
      <c r="AL32" s="38" t="str">
        <f>IF(真值表!AM32=1,$O32&amp;"+","")</f>
        <v/>
      </c>
    </row>
    <row r="33" ht="16.5" hidden="1" spans="1:38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9" t="str">
        <f>IF(真值表!K33=1," "&amp;真值表!K$1&amp;"&amp;",IF(真值表!K33=0,"~"&amp;真值表!K$1&amp;"&amp;",""))</f>
        <v/>
      </c>
      <c r="K33" s="39" t="str">
        <f>IF(真值表!L33=1," "&amp;真值表!L$1&amp;"&amp;",IF(真值表!L33=0,"~"&amp;真值表!L$1&amp;"&amp;",""))</f>
        <v/>
      </c>
      <c r="L33" s="39" t="str">
        <f>IF(真值表!M33=1," "&amp;真值表!M$1&amp;"&amp;",IF(真值表!M33=0,"~"&amp;真值表!M$1&amp;"&amp;",""))</f>
        <v/>
      </c>
      <c r="M33" s="39" t="str">
        <f>IF(真值表!N33=1," "&amp;真值表!N$1&amp;"&amp;",IF(真值表!N33=0,"~"&amp;真值表!N$1&amp;"&amp;",""))</f>
        <v/>
      </c>
      <c r="N33" s="39" t="str">
        <f>IF(真值表!O33=1," "&amp;真值表!O$1&amp;"&amp;",IF(真值表!O33=0,"~"&amp;真值表!O$1&amp;"&amp;",""))</f>
        <v/>
      </c>
      <c r="O33" s="40" t="str">
        <f t="shared" si="1"/>
        <v/>
      </c>
      <c r="P33" s="41" t="str">
        <f>IF(真值表!Q33=1,$O33&amp;"+","")</f>
        <v/>
      </c>
      <c r="Q33" s="41" t="str">
        <f>IF(真值表!R33=1,$O33&amp;"+","")</f>
        <v/>
      </c>
      <c r="R33" s="41" t="str">
        <f>IF(真值表!S33=1,$O33&amp;"+","")</f>
        <v/>
      </c>
      <c r="S33" s="41" t="str">
        <f>IF(真值表!T33=1,$O33&amp;"+","")</f>
        <v/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/>
      </c>
      <c r="AH33" s="41" t="str">
        <f>IF(真值表!AI33=1,$O33&amp;"+","")</f>
        <v/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/>
      </c>
    </row>
    <row r="34" ht="16.5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5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5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5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5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5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5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5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5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5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5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5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5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5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5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5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5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5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5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5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5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5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5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5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5" spans="1:38">
      <c r="A58" s="32" t="s">
        <v>64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OP4&amp;~OP3&amp;~OP2+~F30&amp;~F25&amp; F14&amp;~F13&amp;~F12&amp;~OP6&amp; OP5&amp; OP4&amp;~OP3&amp;~OP2+ F14&amp; F13&amp;~F12&amp; OP6&amp; OP5&amp;~OP4&amp;~OP3&amp;~OP2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OP5&amp;~OP4&amp;~OP3&amp;~OP2+~F14&amp;~F13&amp;~F12&amp;~OP6&amp;~OP5&amp;~OP4&amp;~OP3&amp;~OP2+ F14&amp; F13&amp;~F12&amp; OP6&amp; OP5&amp;~OP4&amp;~OP3&amp;~OP2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 F14&amp;~F13&amp;~F12&amp;~OP6&amp; OP5&amp; OP4&amp;~OP3&amp;~OP2+~F14&amp;~F13&amp;~F12&amp;~OP6&amp;~OP5&amp;~OP4&amp;~OP3&amp;~OP2</v>
      </c>
      <c r="T58" s="43" t="str">
        <f t="shared" si="2"/>
        <v>~F14&amp; F13&amp;~F12&amp;~OP6&amp;~OP5&amp;~OP4&amp;~OP3&amp;~OP2+~F14&amp;~F13&amp;~F12&amp;~OP6&amp;~OP5&amp;~OP4&amp;~OP3&amp;~OP2</v>
      </c>
      <c r="U58" s="43" t="str">
        <f t="shared" si="2"/>
        <v>~F14&amp; F13&amp;~F12&amp;~OP6&amp;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OP5&amp;~OP4&amp;~OP3&amp;~OP2+~F14&amp;~F13&amp;~F12&amp;~OP6&amp;~OP5&amp;~OP4&amp;~OP3&amp;~OP2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OP4&amp;~OP3&amp;~OP2+~F30&amp;~F25&amp; F14&amp;~F13&amp;~F12&amp;~OP6&amp; OP5&amp; OP4&amp;~OP3&amp;~OP2+~F14&amp;~F13&amp;~F12&amp;~OP6&amp;~OP5&amp;~OP4&amp;~OP3&amp;~OP2</v>
      </c>
      <c r="X58" s="43" t="str">
        <f t="shared" si="2"/>
        <v>~F30&amp;~F25&amp;~F14&amp;~F13&amp;~F12&amp; OP6&amp; OP5&amp; OP4&amp;~OP3&amp;~OP2</v>
      </c>
      <c r="Y58" s="45" t="str">
        <f t="shared" si="2"/>
        <v>~F14&amp; F13&amp;~F12&amp;~OP6&amp;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str">
        <f t="shared" si="2"/>
        <v>~F14&amp;~F13&amp;~F12&amp; OP6&amp; OP5&amp;~OP4&amp;~OP3&amp; OP2</v>
      </c>
      <c r="AD58" s="45" t="str">
        <f t="shared" si="2"/>
        <v>~F30&amp;~F25&amp;~F14&amp;~F13&amp; F12&amp;~OP6&amp; OP5&amp; OP4&amp;~OP3&amp;~OP2</v>
      </c>
      <c r="AE58" s="48" t="str">
        <f t="shared" si="2"/>
        <v>~F30&amp;~F25&amp; F14&amp;~F13&amp;~F12&amp;~OP6&amp; OP5&amp; OP4&amp;~OP3&amp;~OP2</v>
      </c>
      <c r="AF58" s="43" t="str">
        <f t="shared" si="2"/>
        <v>~F14&amp;~F13&amp;~F12&amp;~OP6&amp;~OP5&amp;~OP4&amp;~OP3&amp;~OP2</v>
      </c>
      <c r="AG58" s="43" t="str">
        <f t="shared" si="2"/>
        <v> F14&amp; F13&amp;~F12&amp; OP6&amp; OP5&amp;~OP4&amp;~OP3&amp;~OP2</v>
      </c>
      <c r="AH58" s="43" t="str">
        <f t="shared" si="2"/>
        <v> F14&amp; F13&amp;~F12&amp; OP6&amp; OP5&amp; OP4&amp;~OP3&amp;~OP2</v>
      </c>
      <c r="AI58" s="43" t="str">
        <f t="shared" si="2"/>
        <v> F14&amp; F13&amp; F12&amp; OP6&amp; OP5&amp; OP4&amp;~OP3&amp;~OP2</v>
      </c>
      <c r="AJ58" s="43" t="str">
        <f t="shared" si="2"/>
        <v/>
      </c>
      <c r="AK58" s="43" t="str">
        <f t="shared" si="2"/>
        <v/>
      </c>
      <c r="AL58" s="43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OP4&amp;~OP3&amp;~OP2+~F30&amp;~F25&amp; F14&amp;~F13&amp;~F12&amp;~OP6&amp; OP5&amp; OP4&amp;~OP3&amp;~OP2+ F14&amp; 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OP5&amp;~OP4&amp;~OP3&amp;~OP2+~F14&amp;~F13&amp;~F12&amp;~OP6&amp;~OP5&amp;~OP4&amp;~OP3&amp;~OP2+ F14&amp; F13&amp;~F12&amp;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 F14&amp;~F13&amp;~F12&amp;~OP6&amp; OP5&amp; OP4&amp;~OP3&amp;~OP2+~F14&amp;~F13&amp;~F12&amp;~OP6&amp;~OP5&amp;~OP4&amp;~OP3&amp;~OP2+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F13&amp;~F12&amp;~OP6&amp;~OP5&amp;~OP4&amp;~OP3&amp;~OP2+~F14&amp;~F13&amp;~F12&amp;~OP6&amp;~OP5&amp;~OP4&amp;~OP3&amp;~OP2+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OP5&amp;~OP4&amp;~OP3&amp;~OP2+~F14&amp;~F13&amp;~F12&amp;~OP6&amp;~OP5&amp;~OP4&amp;~OP3&amp;~OP2+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OP4&amp;~OP3&amp;~OP2+~F30&amp;~F25&amp; F14&amp;~F13&amp;~F12&amp;~OP6&amp; OP5&amp; OP4&amp;~OP3&amp;~OP2+~F14&amp;~F13&amp;~F12&amp;~OP6&amp;~OP5&amp;~OP4&amp;~OP3&amp;~OP2+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str">
        <f t="shared" si="3"/>
        <v>~F14&amp;~F13&amp;~F12&amp; OP6&amp; OP5&amp;~OP4&amp;~OP3&amp; OP2+</v>
      </c>
      <c r="AD59" t="str">
        <f t="shared" si="3"/>
        <v>~F30&amp;~F25&amp;~F14&amp;~F13&amp; F12&amp;~OP6&amp; OP5&amp; OP4&amp;~OP3&amp;~OP2+</v>
      </c>
      <c r="AE59" t="str">
        <f t="shared" si="3"/>
        <v>~F30&amp;~F25&amp; F14&amp;~F13&amp;~F12&amp;~OP6&amp; OP5&amp; OP4&amp;~OP3&amp;~OP2+</v>
      </c>
      <c r="AF59" t="str">
        <f t="shared" si="3"/>
        <v>~F14&amp;~F13&amp;~F12&amp;~OP6&amp;~OP5&amp;~OP4&amp;~OP3&amp;~OP2+</v>
      </c>
      <c r="AG59" t="str">
        <f t="shared" si="3"/>
        <v> F14&amp; F13&amp;~F12&amp; OP6&amp; OP5&amp;~OP4&amp;~OP3&amp;~OP2+</v>
      </c>
      <c r="AH59" t="str">
        <f t="shared" si="3"/>
        <v> F14&amp; F13&amp;~F12&amp; OP6&amp; OP5&amp; OP4&amp;~OP3&amp;~OP2+</v>
      </c>
      <c r="AI59" t="str">
        <f t="shared" si="3"/>
        <v> F14&amp; F13&amp; F12&amp; OP6&amp; OP5&amp; OP4&amp;~OP3&amp;~OP2+</v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5.75" spans="16:31">
      <c r="P61" s="44" t="s">
        <v>65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5.75" spans="17:17">
      <c r="Q63" s="46" t="s">
        <v>66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B8" sqref="B8"/>
    </sheetView>
  </sheetViews>
  <sheetFormatPr defaultColWidth="9" defaultRowHeight="13.85" outlineLevelCol="2"/>
  <cols>
    <col min="1" max="1" width="13.2477876106195" customWidth="1"/>
    <col min="2" max="2" width="11.5044247787611" customWidth="1"/>
    <col min="3" max="3" width="49.5840707964602" customWidth="1"/>
  </cols>
  <sheetData>
    <row r="1" ht="18" customHeight="1" spans="1:3">
      <c r="A1" s="8" t="s">
        <v>15</v>
      </c>
      <c r="B1" s="9" t="s">
        <v>67</v>
      </c>
      <c r="C1" s="10" t="s">
        <v>68</v>
      </c>
    </row>
    <row r="2" ht="18" customHeight="1" spans="1:3">
      <c r="A2" s="11" t="s">
        <v>69</v>
      </c>
      <c r="B2" s="12">
        <v>0</v>
      </c>
      <c r="C2" s="13" t="s">
        <v>70</v>
      </c>
    </row>
    <row r="3" ht="18" customHeight="1" spans="1:3">
      <c r="A3" s="11" t="s">
        <v>71</v>
      </c>
      <c r="B3" s="12">
        <v>1</v>
      </c>
      <c r="C3" s="13" t="s">
        <v>72</v>
      </c>
    </row>
    <row r="4" ht="18" customHeight="1" spans="1:3">
      <c r="A4" s="11" t="s">
        <v>73</v>
      </c>
      <c r="B4" s="12">
        <v>2</v>
      </c>
      <c r="C4" s="13" t="s">
        <v>74</v>
      </c>
    </row>
    <row r="5" ht="18" customHeight="1" spans="1:3">
      <c r="A5" s="11" t="s">
        <v>75</v>
      </c>
      <c r="B5" s="12">
        <v>3</v>
      </c>
      <c r="C5" s="13" t="s">
        <v>76</v>
      </c>
    </row>
    <row r="6" ht="18" customHeight="1" spans="1:3">
      <c r="A6" s="11" t="s">
        <v>77</v>
      </c>
      <c r="B6" s="12">
        <v>4</v>
      </c>
      <c r="C6" s="13" t="s">
        <v>78</v>
      </c>
    </row>
    <row r="7" ht="18" customHeight="1" spans="1:3">
      <c r="A7" s="11" t="s">
        <v>79</v>
      </c>
      <c r="B7" s="12">
        <v>5</v>
      </c>
      <c r="C7" s="13" t="s">
        <v>80</v>
      </c>
    </row>
    <row r="8" ht="18" customHeight="1" spans="1:3">
      <c r="A8" s="11" t="s">
        <v>81</v>
      </c>
      <c r="B8" s="12">
        <v>6</v>
      </c>
      <c r="C8" s="13" t="s">
        <v>82</v>
      </c>
    </row>
    <row r="9" ht="18" customHeight="1" spans="1:3">
      <c r="A9" s="11" t="s">
        <v>83</v>
      </c>
      <c r="B9" s="12">
        <v>7</v>
      </c>
      <c r="C9" s="13" t="s">
        <v>84</v>
      </c>
    </row>
    <row r="10" ht="18" customHeight="1" spans="1:3">
      <c r="A10" s="11">
        <v>1000</v>
      </c>
      <c r="B10" s="12">
        <v>8</v>
      </c>
      <c r="C10" s="13" t="s">
        <v>85</v>
      </c>
    </row>
    <row r="11" ht="18" customHeight="1" spans="1:3">
      <c r="A11" s="11">
        <v>1001</v>
      </c>
      <c r="B11" s="12">
        <v>9</v>
      </c>
      <c r="C11" s="13" t="s">
        <v>86</v>
      </c>
    </row>
    <row r="12" ht="18" customHeight="1" spans="1:3">
      <c r="A12" s="11">
        <v>1010</v>
      </c>
      <c r="B12" s="12">
        <v>10</v>
      </c>
      <c r="C12" s="13" t="s">
        <v>87</v>
      </c>
    </row>
    <row r="13" ht="18" customHeight="1" spans="1:3">
      <c r="A13" s="11">
        <v>1011</v>
      </c>
      <c r="B13" s="12">
        <v>11</v>
      </c>
      <c r="C13" s="13" t="s">
        <v>88</v>
      </c>
    </row>
    <row r="14" ht="18" customHeight="1" spans="1:3">
      <c r="A14" s="14">
        <v>1100</v>
      </c>
      <c r="B14" s="15">
        <v>12</v>
      </c>
      <c r="C14" s="16" t="s">
        <v>89</v>
      </c>
    </row>
    <row r="15" ht="14.6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F9" sqref="F9"/>
    </sheetView>
  </sheetViews>
  <sheetFormatPr defaultColWidth="9" defaultRowHeight="18" customHeight="1" outlineLevelCol="3"/>
  <cols>
    <col min="2" max="2" width="18.5044247787611" customWidth="1"/>
    <col min="3" max="3" width="29" customWidth="1"/>
    <col min="4" max="4" width="56.0796460176991" customWidth="1"/>
  </cols>
  <sheetData>
    <row r="1" s="1" customFormat="1" ht="20.15" customHeight="1" spans="1:4">
      <c r="A1" s="2" t="s">
        <v>0</v>
      </c>
      <c r="B1" s="3" t="s">
        <v>90</v>
      </c>
      <c r="C1" s="3" t="s">
        <v>91</v>
      </c>
      <c r="D1" s="3" t="s">
        <v>92</v>
      </c>
    </row>
    <row r="2" s="1" customFormat="1" ht="20.15" customHeight="1" spans="1:4">
      <c r="A2" s="4">
        <v>1</v>
      </c>
      <c r="B2" s="5" t="s">
        <v>23</v>
      </c>
      <c r="C2" s="5" t="s">
        <v>93</v>
      </c>
      <c r="D2" s="5" t="s">
        <v>94</v>
      </c>
    </row>
    <row r="3" s="1" customFormat="1" ht="20.15" customHeight="1" spans="1:4">
      <c r="A3" s="6">
        <v>2</v>
      </c>
      <c r="B3" s="7" t="s">
        <v>21</v>
      </c>
      <c r="C3" s="7" t="s">
        <v>95</v>
      </c>
      <c r="D3" s="7" t="s">
        <v>96</v>
      </c>
    </row>
    <row r="4" s="1" customFormat="1" ht="20.15" customHeight="1" spans="1:4">
      <c r="A4" s="4">
        <v>3</v>
      </c>
      <c r="B4" s="5" t="s">
        <v>97</v>
      </c>
      <c r="C4" s="5" t="s">
        <v>98</v>
      </c>
      <c r="D4" s="5" t="s">
        <v>99</v>
      </c>
    </row>
    <row r="5" s="1" customFormat="1" ht="20.15" customHeight="1" spans="1:4">
      <c r="A5" s="6">
        <v>4</v>
      </c>
      <c r="B5" s="7" t="s">
        <v>100</v>
      </c>
      <c r="C5" s="7" t="s">
        <v>101</v>
      </c>
      <c r="D5" s="7" t="s">
        <v>102</v>
      </c>
    </row>
    <row r="6" s="1" customFormat="1" ht="20.15" customHeight="1" spans="1:4">
      <c r="A6" s="4">
        <v>5</v>
      </c>
      <c r="B6" s="5" t="s">
        <v>25</v>
      </c>
      <c r="C6" s="5" t="s">
        <v>103</v>
      </c>
      <c r="D6" s="5" t="s">
        <v>104</v>
      </c>
    </row>
    <row r="7" s="1" customFormat="1" ht="20.15" customHeight="1" spans="1:4">
      <c r="A7" s="6">
        <v>6</v>
      </c>
      <c r="B7" s="7" t="s">
        <v>105</v>
      </c>
      <c r="C7" s="7" t="s">
        <v>106</v>
      </c>
      <c r="D7" s="7" t="s">
        <v>107</v>
      </c>
    </row>
    <row r="8" s="1" customFormat="1" ht="20.15" customHeight="1" spans="1:4">
      <c r="A8" s="4">
        <v>7</v>
      </c>
      <c r="B8" s="5" t="s">
        <v>108</v>
      </c>
      <c r="C8" s="5" t="s">
        <v>109</v>
      </c>
      <c r="D8" s="5" t="s">
        <v>110</v>
      </c>
    </row>
    <row r="9" s="1" customFormat="1" ht="20.15" customHeight="1" spans="1:4">
      <c r="A9" s="6">
        <v>8</v>
      </c>
      <c r="B9" s="7" t="s">
        <v>111</v>
      </c>
      <c r="C9" s="7" t="s">
        <v>112</v>
      </c>
      <c r="D9" s="7" t="s">
        <v>113</v>
      </c>
    </row>
    <row r="10" s="1" customFormat="1" ht="20.15" customHeight="1" spans="1:4">
      <c r="A10" s="4">
        <v>9</v>
      </c>
      <c r="B10" s="5" t="s">
        <v>114</v>
      </c>
      <c r="C10" s="5" t="s">
        <v>115</v>
      </c>
      <c r="D10" s="5" t="s">
        <v>116</v>
      </c>
    </row>
    <row r="11" s="1" customFormat="1" ht="20.15" customHeight="1" spans="1:4">
      <c r="A11" s="6">
        <v>10</v>
      </c>
      <c r="B11" s="7" t="s">
        <v>117</v>
      </c>
      <c r="C11" s="7" t="s">
        <v>118</v>
      </c>
      <c r="D11" s="7" t="s">
        <v>119</v>
      </c>
    </row>
    <row r="12" s="1" customFormat="1" ht="20.15" customHeight="1" spans="1:4">
      <c r="A12" s="4">
        <v>11</v>
      </c>
      <c r="B12" s="5" t="s">
        <v>24</v>
      </c>
      <c r="C12" s="5" t="s">
        <v>120</v>
      </c>
      <c r="D12" s="5" t="s">
        <v>121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王家乐</cp:lastModifiedBy>
  <dcterms:created xsi:type="dcterms:W3CDTF">2015-06-05T18:19:00Z</dcterms:created>
  <dcterms:modified xsi:type="dcterms:W3CDTF">2025-09-02T00:57:25Z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FA9C02EE4B5142CF882BB57BF84AB5EA</vt:lpwstr>
  </property>
</Properties>
</file>