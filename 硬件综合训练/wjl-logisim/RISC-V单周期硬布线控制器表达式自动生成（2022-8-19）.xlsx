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B21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J型指令</t>
        </r>
      </text>
    </comment>
    <comment ref="B22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I型指令</t>
        </r>
      </text>
    </comment>
    <comment ref="B26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R
算术右移。将寄存器 rs1 中的值向右移动指定的位数，并采用算术移位的方式填充空出的高位。</t>
        </r>
      </text>
    </comment>
    <comment ref="B27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I
无符号立即数比较。将寄存器 rs1 中的值视为一个无符号数，与经零扩展的12位立即数 imm 进行比较。</t>
        </r>
      </text>
    </comment>
    <comment ref="B28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I 
无符号半字加载。从内存中加载一个16位（半字）的数据到寄存器，并进行零扩展。</t>
        </r>
      </text>
    </comment>
    <comment ref="B29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B
小于则分支。将寄存器 rs1 和 rs2 中的值都视为有符号数并进行比较。如果 rs1 &lt; rs2，则进行程序跳转。</t>
        </r>
      </text>
    </comment>
  </commentList>
</comments>
</file>

<file path=xl/sharedStrings.xml><?xml version="1.0" encoding="utf-8"?>
<sst xmlns="http://schemas.openxmlformats.org/spreadsheetml/2006/main" count="145" uniqueCount="123">
  <si>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</si>
  <si>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</si>
  <si>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</si>
  <si>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</si>
  <si>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</si>
  <si>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</si>
  <si>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</si>
  <si>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</si>
  <si>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</si>
  <si>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</si>
  <si>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</si>
  <si>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</si>
  <si>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</si>
  <si>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</si>
  <si>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</si>
  <si>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</si>
  <si>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</si>
  <si>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</si>
  <si>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</si>
  <si>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</si>
  <si>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</si>
  <si>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</si>
  <si>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</si>
  <si>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</si>
  <si>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</si>
  <si>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</si>
  <si>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</si>
  <si>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</si>
  <si>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</si>
  <si>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</si>
  <si>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LHU</t>
  </si>
  <si>
    <t>BLT</t>
  </si>
  <si>
    <t>r1_used</t>
  </si>
  <si>
    <t>r2_used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</si>
  <si>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</si>
  <si>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</si>
  <si>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</si>
  <si>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</si>
  <si>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</si>
  <si>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</si>
  <si>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</si>
  <si>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</si>
  <si>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</si>
  <si>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</si>
  <si>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</si>
  <si>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</si>
  <si>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</si>
  <si>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</si>
  <si>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</si>
  <si>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</si>
  <si>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</si>
  <si>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</si>
  <si>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</si>
  <si>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</si>
  <si>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</si>
  <si>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</si>
  <si>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</si>
  <si>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</si>
  <si>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jalr</t>
  </si>
  <si>
    <t>CSRRSI</t>
  </si>
  <si>
    <t>CSRRCI</t>
  </si>
  <si>
    <t>URET</t>
  </si>
  <si>
    <t>sra</t>
  </si>
  <si>
    <t>sltiu</t>
  </si>
  <si>
    <t>lhu</t>
  </si>
  <si>
    <t>blt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</si>
  <si>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</si>
  <si>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</si>
  <si>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</si>
  <si>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</si>
  <si>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</si>
  <si>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</si>
  <si>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</si>
  <si>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</si>
  <si>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</si>
  <si>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</si>
  <si>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</si>
  <si>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</si>
  <si>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</si>
  <si>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</si>
  <si>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</si>
  <si>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</si>
  <si>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</si>
  <si>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</si>
  <si>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</si>
  <si>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</si>
  <si>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</si>
  <si>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</si>
  <si>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</si>
  <si>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</si>
  <si>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</si>
  <si>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</si>
  <si>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</si>
  <si>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</si>
  <si>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</si>
  <si>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</si>
  <si>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</si>
  <si>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</si>
  <si>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</si>
  <si>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</si>
  <si>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</si>
  <si>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</si>
  <si>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</si>
  <si>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</si>
  <si>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</si>
  <si>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</si>
  <si>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</si>
  <si>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</si>
  <si>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</si>
  <si>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</si>
  <si>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</si>
  <si>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JALR指令译码信号</t>
  </si>
  <si>
    <t xml:space="preserve"> JALR指令  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</si>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</sst>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80560" y="7861935"/>
          <a:ext cx="98552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90" zoomScaleNormal="90" topLeftCell="A9" workbookViewId="0">
      <selection activeCell="AG27" sqref="AG27"/>
    </sheetView>
  </sheetViews>
  <sheetFormatPr defaultColWidth="9" defaultRowHeight="16.5"/>
  <cols>
    <col min="1" max="1" width="3.83185840707965" customWidth="1"/>
    <col min="2" max="2" width="8.58407079646018" style="18" customWidth="1"/>
    <col min="3" max="4" width="10.5840707964602" style="49" customWidth="1"/>
    <col min="5" max="5" width="11.2477876106195" style="49" customWidth="1"/>
    <col min="6" max="15" width="4.58407079646018" style="49" hidden="1" customWidth="1"/>
    <col min="16" max="16" width="8.83185840707965" style="49" customWidth="1"/>
    <col min="17" max="20" width="3.58407079646018" style="49" hidden="1" customWidth="1"/>
    <col min="21" max="21" width="10.2477876106195" style="49" customWidth="1"/>
    <col min="22" max="22" width="9.24778761061947" style="49" customWidth="1"/>
    <col min="23" max="23" width="10.5840707964602" style="49" customWidth="1"/>
    <col min="24" max="24" width="9.50442477876106" style="49" customWidth="1"/>
    <col min="25" max="26" width="9.24778761061947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8.15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/>
      <c r="AH1" s="47" t="s">
        <v>32</v>
      </c>
      <c r="AI1" s="47" t="s">
        <v>33</v>
      </c>
      <c r="AJ1" s="47" t="s">
        <v>34</v>
      </c>
      <c r="AK1" s="47" t="s">
        <v>34</v>
      </c>
      <c r="AL1" s="47" t="s">
        <v>34</v>
      </c>
      <c r="AM1" s="47" t="s">
        <v>34</v>
      </c>
      <c r="AN1" s="17" t="s">
        <v>35</v>
      </c>
    </row>
    <row r="2" spans="1:39">
      <c r="A2" s="56">
        <v>1</v>
      </c>
      <c r="B2" s="23" t="s">
        <v>36</v>
      </c>
      <c r="C2" s="24">
        <v>0</v>
      </c>
      <c r="D2" s="24">
        <v>0</v>
      </c>
      <c r="E2" s="57" t="s">
        <v>37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>
        <v>1</v>
      </c>
      <c r="AI2" s="25">
        <v>1</v>
      </c>
      <c r="AJ2" s="25"/>
      <c r="AK2" s="25"/>
      <c r="AL2" s="25"/>
      <c r="AM2" s="25"/>
    </row>
    <row r="3" spans="1:39">
      <c r="A3" s="59">
        <v>2</v>
      </c>
      <c r="B3" s="59" t="s">
        <v>38</v>
      </c>
      <c r="C3" s="60">
        <v>32</v>
      </c>
      <c r="D3" s="61">
        <v>0</v>
      </c>
      <c r="E3" s="62" t="s">
        <v>37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>
        <v>1</v>
      </c>
      <c r="AI3" s="73">
        <v>1</v>
      </c>
      <c r="AJ3" s="73"/>
      <c r="AK3" s="73"/>
      <c r="AL3" s="73"/>
      <c r="AM3" s="73"/>
    </row>
    <row r="4" spans="1:39">
      <c r="A4" s="56">
        <v>3</v>
      </c>
      <c r="B4" s="23" t="s">
        <v>39</v>
      </c>
      <c r="C4" s="24">
        <v>0</v>
      </c>
      <c r="D4" s="24">
        <v>7</v>
      </c>
      <c r="E4" s="57" t="s">
        <v>37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>
        <v>1</v>
      </c>
      <c r="AI4" s="25">
        <v>1</v>
      </c>
      <c r="AJ4" s="25"/>
      <c r="AK4" s="25"/>
      <c r="AL4" s="25"/>
      <c r="AM4" s="25"/>
    </row>
    <row r="5" spans="1:39">
      <c r="A5" s="59">
        <v>4</v>
      </c>
      <c r="B5" s="59" t="s">
        <v>40</v>
      </c>
      <c r="C5" s="60">
        <v>0</v>
      </c>
      <c r="D5" s="61">
        <v>6</v>
      </c>
      <c r="E5" s="62" t="s">
        <v>37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>
        <v>1</v>
      </c>
      <c r="AI5" s="73">
        <v>1</v>
      </c>
      <c r="AJ5" s="73"/>
      <c r="AK5" s="73"/>
      <c r="AL5" s="73"/>
      <c r="AM5" s="73"/>
    </row>
    <row r="6" spans="1:39">
      <c r="A6" s="56">
        <v>5</v>
      </c>
      <c r="B6" s="23" t="s">
        <v>41</v>
      </c>
      <c r="C6" s="24">
        <v>0</v>
      </c>
      <c r="D6" s="24">
        <v>2</v>
      </c>
      <c r="E6" s="57" t="s">
        <v>37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>
        <v>1</v>
      </c>
      <c r="AI6" s="25">
        <v>1</v>
      </c>
      <c r="AJ6" s="25"/>
      <c r="AK6" s="25"/>
      <c r="AL6" s="25"/>
      <c r="AM6" s="25"/>
    </row>
    <row r="7" spans="1:39">
      <c r="A7" s="59">
        <v>6</v>
      </c>
      <c r="B7" s="59" t="s">
        <v>42</v>
      </c>
      <c r="C7" s="60">
        <v>0</v>
      </c>
      <c r="D7" s="61">
        <v>3</v>
      </c>
      <c r="E7" s="62" t="s">
        <v>37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>
        <v>1</v>
      </c>
      <c r="AI7" s="73">
        <v>1</v>
      </c>
      <c r="AJ7" s="73"/>
      <c r="AK7" s="73"/>
      <c r="AL7" s="73"/>
      <c r="AM7" s="73"/>
    </row>
    <row r="8" spans="1:39">
      <c r="A8" s="56">
        <v>7</v>
      </c>
      <c r="B8" s="23" t="s">
        <v>43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>
        <v>1</v>
      </c>
      <c r="AI8" s="25"/>
      <c r="AJ8" s="25"/>
      <c r="AK8" s="25"/>
      <c r="AL8" s="25"/>
      <c r="AM8" s="25"/>
    </row>
    <row r="9" spans="1:39">
      <c r="A9" s="59">
        <v>8</v>
      </c>
      <c r="B9" s="59" t="s">
        <v>44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>
        <v>1</v>
      </c>
      <c r="AI9" s="73"/>
      <c r="AJ9" s="73"/>
      <c r="AK9" s="73"/>
      <c r="AL9" s="73"/>
      <c r="AM9" s="73"/>
    </row>
    <row r="10" spans="1:39">
      <c r="A10" s="56">
        <v>9</v>
      </c>
      <c r="B10" s="23" t="s">
        <v>45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>
        <v>1</v>
      </c>
      <c r="AI10" s="25"/>
      <c r="AJ10" s="25"/>
      <c r="AK10" s="25"/>
      <c r="AL10" s="25"/>
      <c r="AM10" s="25"/>
    </row>
    <row r="11" spans="1:39">
      <c r="A11" s="59">
        <v>10</v>
      </c>
      <c r="B11" s="59" t="s">
        <v>46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>
        <v>1</v>
      </c>
      <c r="AI11" s="73"/>
      <c r="AJ11" s="73"/>
      <c r="AK11" s="73"/>
      <c r="AL11" s="73"/>
      <c r="AM11" s="73"/>
    </row>
    <row r="12" spans="1:39">
      <c r="A12" s="56">
        <v>11</v>
      </c>
      <c r="B12" s="23" t="s">
        <v>47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>
        <v>1</v>
      </c>
      <c r="AI12" s="25"/>
      <c r="AJ12" s="25"/>
      <c r="AK12" s="25"/>
      <c r="AL12" s="25"/>
      <c r="AM12" s="25"/>
    </row>
    <row r="13" spans="1:39">
      <c r="A13" s="59">
        <v>12</v>
      </c>
      <c r="B13" s="59" t="s">
        <v>48</v>
      </c>
      <c r="C13" s="60">
        <v>0</v>
      </c>
      <c r="D13" s="61">
        <v>1</v>
      </c>
      <c r="E13" s="62">
        <v>4</v>
      </c>
      <c r="F13" s="61">
        <f t="shared" si="12"/>
        <v>0</v>
      </c>
      <c r="G13" s="61">
        <f t="shared" si="13"/>
        <v>0</v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>
        <v>1</v>
      </c>
      <c r="AI13" s="73"/>
      <c r="AJ13" s="73"/>
      <c r="AK13" s="73"/>
      <c r="AL13" s="73"/>
      <c r="AM13" s="73"/>
    </row>
    <row r="14" spans="1:39">
      <c r="A14" s="56">
        <v>13</v>
      </c>
      <c r="B14" s="23" t="s">
        <v>49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>
        <v>1</v>
      </c>
      <c r="AI14" s="25"/>
      <c r="AJ14" s="25"/>
      <c r="AK14" s="25"/>
      <c r="AL14" s="25"/>
      <c r="AM14" s="25"/>
    </row>
    <row r="15" spans="1:39">
      <c r="A15" s="59">
        <v>14</v>
      </c>
      <c r="B15" s="59" t="s">
        <v>50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>
        <v>1</v>
      </c>
      <c r="AI15" s="73"/>
      <c r="AJ15" s="73"/>
      <c r="AK15" s="73"/>
      <c r="AL15" s="73"/>
      <c r="AM15" s="73"/>
    </row>
    <row r="16" spans="1:39">
      <c r="A16" s="56">
        <v>15</v>
      </c>
      <c r="B16" s="23" t="s">
        <v>51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>
        <v>1</v>
      </c>
      <c r="AI16" s="25"/>
      <c r="AJ16" s="25"/>
      <c r="AK16" s="25"/>
      <c r="AL16" s="25"/>
      <c r="AM16" s="25"/>
    </row>
    <row r="17" spans="1:39">
      <c r="A17" s="59">
        <v>16</v>
      </c>
      <c r="B17" s="59" t="s">
        <v>52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>
        <v>1</v>
      </c>
      <c r="AI17" s="73">
        <v>1</v>
      </c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53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>
      <c r="A19" s="59">
        <v>18</v>
      </c>
      <c r="B19" s="59" t="s">
        <v>54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>
        <v>6</v>
      </c>
      <c r="Q19" s="72">
        <f t="shared" si="8"/>
        <v>0</v>
      </c>
      <c r="R19" s="72">
        <f t="shared" si="9"/>
        <v>1</v>
      </c>
      <c r="S19" s="72">
        <f t="shared" si="10"/>
        <v>1</v>
      </c>
      <c r="T19" s="72">
        <f t="shared" si="11"/>
        <v>0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>
        <v>1</v>
      </c>
      <c r="AI19" s="73">
        <v>1</v>
      </c>
      <c r="AJ19" s="73"/>
      <c r="AK19" s="73"/>
      <c r="AL19" s="73"/>
      <c r="AM19" s="73"/>
    </row>
    <row r="20" spans="1:39">
      <c r="A20" s="56">
        <v>19</v>
      </c>
      <c r="B20" s="23" t="s">
        <v>55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>
        <v>6</v>
      </c>
      <c r="Q20" s="71">
        <f t="shared" si="8"/>
        <v>0</v>
      </c>
      <c r="R20" s="71">
        <f t="shared" si="9"/>
        <v>1</v>
      </c>
      <c r="S20" s="71">
        <f t="shared" si="10"/>
        <v>1</v>
      </c>
      <c r="T20" s="71">
        <f t="shared" si="11"/>
        <v>0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>
        <v>1</v>
      </c>
      <c r="AI20" s="25">
        <v>1</v>
      </c>
      <c r="AJ20" s="25"/>
      <c r="AK20" s="25"/>
      <c r="AL20" s="25"/>
      <c r="AM20" s="25"/>
    </row>
    <row r="21" spans="1:39">
      <c r="A21" s="59">
        <v>20</v>
      </c>
      <c r="B21" s="59" t="s">
        <v>56</v>
      </c>
      <c r="C21" s="60"/>
      <c r="D21" s="61"/>
      <c r="E21" s="62" t="s">
        <v>57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58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6</v>
      </c>
      <c r="Q22" s="71">
        <f t="shared" si="8"/>
        <v>0</v>
      </c>
      <c r="R22" s="71">
        <f t="shared" si="9"/>
        <v>1</v>
      </c>
      <c r="S22" s="71">
        <f t="shared" si="10"/>
        <v>1</v>
      </c>
      <c r="T22" s="71">
        <f t="shared" si="11"/>
        <v>0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>
        <v>1</v>
      </c>
      <c r="AI22" s="25"/>
      <c r="AJ22" s="25"/>
      <c r="AK22" s="25"/>
      <c r="AL22" s="25"/>
      <c r="AM22" s="25"/>
    </row>
    <row r="23" spans="1:39">
      <c r="A23" s="59">
        <v>22</v>
      </c>
      <c r="B23" s="59" t="s">
        <v>59</v>
      </c>
      <c r="C23" s="60"/>
      <c r="D23" s="61">
        <v>6</v>
      </c>
      <c r="E23" s="62" t="s">
        <v>53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>
        <v>8</v>
      </c>
      <c r="Q23" s="72">
        <f t="shared" si="8"/>
        <v>1</v>
      </c>
      <c r="R23" s="72">
        <f t="shared" si="9"/>
        <v>0</v>
      </c>
      <c r="S23" s="72">
        <f t="shared" si="10"/>
        <v>0</v>
      </c>
      <c r="T23" s="72">
        <f t="shared" si="11"/>
        <v>0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/>
      <c r="AK23" s="73"/>
      <c r="AL23" s="73"/>
      <c r="AM23" s="73"/>
    </row>
    <row r="24" spans="1:39">
      <c r="A24" s="56">
        <v>23</v>
      </c>
      <c r="B24" s="63" t="s">
        <v>60</v>
      </c>
      <c r="C24" s="24"/>
      <c r="D24" s="24">
        <v>7</v>
      </c>
      <c r="E24" s="57" t="s">
        <v>53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>
        <v>7</v>
      </c>
      <c r="Q24" s="71">
        <f t="shared" si="8"/>
        <v>0</v>
      </c>
      <c r="R24" s="71">
        <f t="shared" si="9"/>
        <v>1</v>
      </c>
      <c r="S24" s="71">
        <f t="shared" si="10"/>
        <v>1</v>
      </c>
      <c r="T24" s="71">
        <f t="shared" si="11"/>
        <v>1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/>
      <c r="AL24" s="25"/>
      <c r="AM24" s="25"/>
    </row>
    <row r="25" spans="1:39">
      <c r="A25" s="59">
        <v>24</v>
      </c>
      <c r="B25" s="59" t="s">
        <v>61</v>
      </c>
      <c r="C25" s="60">
        <v>2</v>
      </c>
      <c r="D25" s="61">
        <v>0</v>
      </c>
      <c r="E25" s="62" t="s">
        <v>53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62</v>
      </c>
      <c r="C26" s="24">
        <v>32</v>
      </c>
      <c r="D26" s="24">
        <v>5</v>
      </c>
      <c r="E26" s="57" t="s">
        <v>37</v>
      </c>
      <c r="F26" s="58">
        <f t="shared" si="12"/>
        <v>1</v>
      </c>
      <c r="G26" s="58">
        <f t="shared" si="13"/>
        <v>0</v>
      </c>
      <c r="H26" s="58">
        <f t="shared" si="0"/>
        <v>1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1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1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>
        <v>1</v>
      </c>
      <c r="AI26" s="25">
        <v>1</v>
      </c>
      <c r="AJ26" s="25"/>
      <c r="AK26" s="25"/>
      <c r="AL26" s="25"/>
      <c r="AM26" s="25"/>
    </row>
    <row r="27" spans="1:39">
      <c r="A27" s="59">
        <v>26</v>
      </c>
      <c r="B27" s="59" t="s">
        <v>63</v>
      </c>
      <c r="C27" s="60"/>
      <c r="D27" s="61">
        <v>3</v>
      </c>
      <c r="E27" s="62">
        <v>4</v>
      </c>
      <c r="F27" s="61" t="str">
        <f t="shared" si="12"/>
        <v/>
      </c>
      <c r="G27" s="61" t="str">
        <f t="shared" si="13"/>
        <v/>
      </c>
      <c r="H27" s="61">
        <f t="shared" si="0"/>
        <v>0</v>
      </c>
      <c r="I27" s="61">
        <f t="shared" si="1"/>
        <v>1</v>
      </c>
      <c r="J27" s="62">
        <f t="shared" si="2"/>
        <v>1</v>
      </c>
      <c r="K27" s="67">
        <f t="shared" si="3"/>
        <v>0</v>
      </c>
      <c r="L27" s="67">
        <f t="shared" si="4"/>
        <v>0</v>
      </c>
      <c r="M27" s="67">
        <f t="shared" si="5"/>
        <v>1</v>
      </c>
      <c r="N27" s="67">
        <f t="shared" si="6"/>
        <v>0</v>
      </c>
      <c r="O27" s="68">
        <f t="shared" si="7"/>
        <v>0</v>
      </c>
      <c r="P27" s="69">
        <v>12</v>
      </c>
      <c r="Q27" s="72">
        <f t="shared" si="8"/>
        <v>1</v>
      </c>
      <c r="R27" s="72">
        <f t="shared" si="9"/>
        <v>1</v>
      </c>
      <c r="S27" s="72">
        <f t="shared" si="10"/>
        <v>0</v>
      </c>
      <c r="T27" s="72">
        <f t="shared" si="11"/>
        <v>0</v>
      </c>
      <c r="U27" s="59"/>
      <c r="V27" s="59"/>
      <c r="W27" s="59">
        <v>1</v>
      </c>
      <c r="X27" s="59">
        <v>1</v>
      </c>
      <c r="Y27" s="59"/>
      <c r="Z27" s="59"/>
      <c r="AA27" s="59"/>
      <c r="AB27" s="59"/>
      <c r="AC27" s="59"/>
      <c r="AD27" s="59"/>
      <c r="AE27" s="59"/>
      <c r="AF27" s="59"/>
      <c r="AG27" s="73"/>
      <c r="AH27" s="73">
        <v>1</v>
      </c>
      <c r="AI27" s="73"/>
      <c r="AJ27" s="73"/>
      <c r="AK27" s="73"/>
      <c r="AL27" s="73"/>
      <c r="AM27" s="73"/>
    </row>
    <row r="28" spans="1:39">
      <c r="A28" s="56">
        <v>27</v>
      </c>
      <c r="B28" s="23" t="s">
        <v>64</v>
      </c>
      <c r="C28" s="24"/>
      <c r="D28" s="24">
        <v>5</v>
      </c>
      <c r="E28" s="57">
        <v>0</v>
      </c>
      <c r="F28" s="58" t="str">
        <f t="shared" si="12"/>
        <v/>
      </c>
      <c r="G28" s="58" t="str">
        <f t="shared" si="13"/>
        <v/>
      </c>
      <c r="H28" s="58">
        <f t="shared" si="0"/>
        <v>1</v>
      </c>
      <c r="I28" s="58">
        <f t="shared" si="1"/>
        <v>0</v>
      </c>
      <c r="J28" s="57">
        <f t="shared" si="2"/>
        <v>1</v>
      </c>
      <c r="K28" s="25">
        <f t="shared" si="3"/>
        <v>0</v>
      </c>
      <c r="L28" s="25">
        <f t="shared" si="4"/>
        <v>0</v>
      </c>
      <c r="M28" s="25">
        <f t="shared" si="5"/>
        <v>0</v>
      </c>
      <c r="N28" s="25">
        <f t="shared" si="6"/>
        <v>0</v>
      </c>
      <c r="O28" s="65">
        <f t="shared" si="7"/>
        <v>0</v>
      </c>
      <c r="P28" s="66">
        <v>5</v>
      </c>
      <c r="Q28" s="71">
        <f t="shared" si="8"/>
        <v>0</v>
      </c>
      <c r="R28" s="71">
        <f t="shared" si="9"/>
        <v>1</v>
      </c>
      <c r="S28" s="71">
        <f t="shared" si="10"/>
        <v>0</v>
      </c>
      <c r="T28" s="71">
        <f t="shared" si="11"/>
        <v>1</v>
      </c>
      <c r="U28" s="23">
        <v>1</v>
      </c>
      <c r="V28" s="23"/>
      <c r="W28" s="23">
        <v>1</v>
      </c>
      <c r="X28" s="23">
        <v>1</v>
      </c>
      <c r="Y28" s="23"/>
      <c r="Z28" s="23"/>
      <c r="AA28" s="23"/>
      <c r="AB28" s="23"/>
      <c r="AC28" s="23"/>
      <c r="AD28" s="23"/>
      <c r="AE28" s="23">
        <v>1</v>
      </c>
      <c r="AF28" s="23"/>
      <c r="AG28" s="25"/>
      <c r="AH28" s="25">
        <v>1</v>
      </c>
      <c r="AI28" s="25"/>
      <c r="AJ28" s="25"/>
      <c r="AK28" s="25"/>
      <c r="AL28" s="25"/>
      <c r="AM28" s="25"/>
    </row>
    <row r="29" spans="1:39">
      <c r="A29" s="59">
        <v>28</v>
      </c>
      <c r="B29" s="59" t="s">
        <v>65</v>
      </c>
      <c r="C29" s="60"/>
      <c r="D29" s="61">
        <v>4</v>
      </c>
      <c r="E29" s="62">
        <v>18</v>
      </c>
      <c r="F29" s="61" t="str">
        <f t="shared" si="12"/>
        <v/>
      </c>
      <c r="G29" s="61" t="str">
        <f t="shared" si="13"/>
        <v/>
      </c>
      <c r="H29" s="61">
        <f t="shared" si="0"/>
        <v>1</v>
      </c>
      <c r="I29" s="61">
        <f t="shared" si="1"/>
        <v>0</v>
      </c>
      <c r="J29" s="62">
        <f t="shared" si="2"/>
        <v>0</v>
      </c>
      <c r="K29" s="67">
        <f t="shared" si="3"/>
        <v>1</v>
      </c>
      <c r="L29" s="67">
        <f t="shared" si="4"/>
        <v>1</v>
      </c>
      <c r="M29" s="67">
        <f t="shared" si="5"/>
        <v>0</v>
      </c>
      <c r="N29" s="67">
        <f t="shared" si="6"/>
        <v>0</v>
      </c>
      <c r="O29" s="68">
        <f t="shared" si="7"/>
        <v>0</v>
      </c>
      <c r="P29" s="69">
        <v>11</v>
      </c>
      <c r="Q29" s="72">
        <f t="shared" si="8"/>
        <v>1</v>
      </c>
      <c r="R29" s="72">
        <f t="shared" si="9"/>
        <v>0</v>
      </c>
      <c r="S29" s="72">
        <f t="shared" si="10"/>
        <v>1</v>
      </c>
      <c r="T29" s="72">
        <f t="shared" si="11"/>
        <v>1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>
        <v>1</v>
      </c>
      <c r="AG29" s="73"/>
      <c r="AH29" s="73">
        <v>1</v>
      </c>
      <c r="AI29" s="73">
        <v>1</v>
      </c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 AE1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U4:AF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2" activePane="bottomLeft" state="frozen"/>
      <selection/>
      <selection pane="bottomLeft" activeCell="P59" sqref="P59"/>
    </sheetView>
  </sheetViews>
  <sheetFormatPr defaultColWidth="9" defaultRowHeight="13.85"/>
  <cols>
    <col min="1" max="1" width="8.33628318584071" style="18" customWidth="1"/>
    <col min="2" max="3" width="9.50442477876106" style="18" customWidth="1"/>
    <col min="4" max="4" width="8.58407079646018" style="18" customWidth="1"/>
    <col min="5" max="7" width="4.58407079646018" style="18" hidden="1" customWidth="1"/>
    <col min="8" max="8" width="4.24778761061947" style="18" hidden="1" customWidth="1"/>
    <col min="9" max="14" width="4.58407079646018" style="18" hidden="1" customWidth="1"/>
    <col min="15" max="15" width="23.5044247787611" style="18" customWidth="1"/>
    <col min="16" max="19" width="4.58407079646018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66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LHU</v>
      </c>
      <c r="AE1" s="35" t="str">
        <f>真值表!AF1</f>
        <v>BLT</v>
      </c>
      <c r="AF1" s="47">
        <f>真值表!AG1</f>
        <v>0</v>
      </c>
      <c r="AG1" s="47" t="str">
        <f>真值表!AH1</f>
        <v>r1_used</v>
      </c>
      <c r="AH1" s="47" t="str">
        <f>真值表!AI1</f>
        <v>r2_used</v>
      </c>
      <c r="AI1" s="47" t="str">
        <f>真值表!AJ1</f>
        <v>XXX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5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>~F30&amp;~F25&amp;~F14&amp;~F13&amp;~F12&amp;~OP6&amp; OP5&amp; OP4&amp;~OP3&amp;~OP2+</v>
      </c>
      <c r="AH2" s="38" t="str">
        <f>IF(真值表!AI2=1,$O2&amp;"+","")</f>
        <v>~F30&amp;~F25&amp;~F14&amp;~F13&amp;~F12&amp;~OP6&amp; OP5&amp; OP4&amp;~OP3&amp;~OP2+</v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5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> F30&amp;~F25&amp;~F14&amp;~F13&amp;~F12&amp;~OP6&amp; OP5&amp; OP4&amp;~OP3&amp;~OP2+</v>
      </c>
      <c r="AH3" s="41" t="str">
        <f>IF(真值表!AI3=1,$O3&amp;"+","")</f>
        <v> F30&amp;~F25&amp;~F14&amp;~F13&amp;~F12&amp;~OP6&amp; OP5&amp; OP4&amp;~OP3&amp;~OP2+</v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5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>~F30&amp;~F25&amp; F14&amp; F13&amp; F12&amp;~OP6&amp; OP5&amp; OP4&amp;~OP3&amp;~OP2+</v>
      </c>
      <c r="AH4" s="38" t="str">
        <f>IF(真值表!AI4=1,$O4&amp;"+","")</f>
        <v>~F30&amp;~F25&amp; F14&amp; F13&amp; F12&amp;~OP6&amp; OP5&amp; OP4&amp;~OP3&amp;~OP2+</v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5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>~F30&amp;~F25&amp; F14&amp; F13&amp;~F12&amp;~OP6&amp; OP5&amp; OP4&amp;~OP3&amp;~OP2+</v>
      </c>
      <c r="AH5" s="41" t="str">
        <f>IF(真值表!AI5=1,$O5&amp;"+","")</f>
        <v>~F30&amp;~F25&amp; F14&amp; F13&amp;~F12&amp;~OP6&amp; OP5&amp; OP4&amp;~OP3&amp;~OP2+</v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5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>~F30&amp;~F25&amp;~F14&amp; F13&amp;~F12&amp;~OP6&amp; OP5&amp; OP4&amp;~OP3&amp;~OP2+</v>
      </c>
      <c r="AH6" s="38" t="str">
        <f>IF(真值表!AI6=1,$O6&amp;"+","")</f>
        <v>~F30&amp;~F25&amp;~F14&amp; F13&amp;~F12&amp;~OP6&amp; OP5&amp; OP4&amp;~OP3&amp;~OP2+</v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5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>~F30&amp;~F25&amp;~F14&amp; F13&amp; F12&amp;~OP6&amp; OP5&amp; OP4&amp;~OP3&amp;~OP2+</v>
      </c>
      <c r="AH7" s="41" t="str">
        <f>IF(真值表!AI7=1,$O7&amp;"+","")</f>
        <v>~F30&amp;~F25&amp;~F14&amp; F13&amp; F12&amp;~OP6&amp; OP5&amp; OP4&amp;~OP3&amp;~OP2+</v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5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>~F14&amp;~F13&amp;~F12&amp;~OP6&amp;~OP5&amp; OP4&amp;~OP3&amp;~OP2+</v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5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> F14&amp; F13&amp; F12&amp;~OP6&amp;~OP5&amp; OP4&amp;~OP3&amp;~OP2+</v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5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> F14&amp; F13&amp;~F12&amp;~OP6&amp;~OP5&amp; OP4&amp;~OP3&amp;~OP2+</v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5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> F14&amp;~F13&amp;~F12&amp;~OP6&amp;~OP5&amp; OP4&amp;~OP3&amp;~OP2+</v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5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>~F14&amp; F13&amp;~F12&amp;~OP6&amp;~OP5&amp; OP4&amp;~OP3&amp;~OP2+</v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5" spans="1:38">
      <c r="A13" s="27" t="str">
        <f>IF(ISBLANK(真值表!B13),"",真值表!B13)</f>
        <v>slli</v>
      </c>
      <c r="B13" s="28">
        <f>IF(ISBLANK(真值表!C13),"",真值表!C13)</f>
        <v>0</v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>~F30&amp;</v>
      </c>
      <c r="F13" s="31" t="str">
        <f>IF(真值表!G13=1," "&amp;真值表!G$1&amp;"&amp;",IF(真值表!G13=0,"~"&amp;真值表!G$1&amp;"&amp;",""))</f>
        <v>~F25&amp;</v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~F30&amp;~F25&amp;~F14&amp;~F13&amp;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~F30&amp;~F25&amp;~F14&amp;~F13&amp; F12&amp;~OP6&amp;~OP5&amp; OP4&amp;~OP3&amp;~OP2+</v>
      </c>
      <c r="W13" s="41" t="str">
        <f>IF(真值表!X13=1,$O13&amp;"+","")</f>
        <v>~F30&amp;~F25&amp;~F14&amp;~F13&amp;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>~F30&amp;~F25&amp;~F14&amp;~F13&amp; F12&amp;~OP6&amp;~OP5&amp; OP4&amp;~OP3&amp;~OP2+</v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5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>~F30&amp;~F25&amp; F14&amp;~F13&amp; F12&amp;~OP6&amp;~OP5&amp; OP4&amp;~OP3&amp;~OP2+</v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5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> F30&amp;~F25&amp; F14&amp;~F13&amp; F12&amp;~OP6&amp;~OP5&amp; OP4&amp;~OP3&amp;~OP2+</v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5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>~F14&amp; F13&amp;~F12&amp;~OP6&amp;~OP5&amp;~OP4&amp;~OP3&amp;~OP2+</v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5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>~F14&amp; F13&amp;~F12&amp;~OP6&amp; OP5&amp;~OP4&amp;~OP3&amp;~OP2+</v>
      </c>
      <c r="AH17" s="41" t="str">
        <f>IF(真值表!AI17=1,$O17&amp;"+","")</f>
        <v>~F14&amp; F13&amp;~F12&amp;~OP6&amp; OP5&amp;~OP4&amp;~OP3&amp;~OP2+</v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5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/>
      </c>
      <c r="AH18" s="38" t="str">
        <f>IF(真值表!AI18=1,$O18&amp;"+","")</f>
        <v/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5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>~F14&amp;~F13&amp;~F12&amp; OP6&amp; OP5&amp;~OP4&amp;~OP3&amp;~OP2+</v>
      </c>
      <c r="R19" s="41" t="str">
        <f>IF(真值表!S19=1,$O19&amp;"+","")</f>
        <v>~F14&amp;~F13&amp;~F12&amp; OP6&amp; OP5&amp;~OP4&amp;~OP3&amp;~OP2+</v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>~F14&amp;~F13&amp;~F12&amp; OP6&amp; OP5&amp;~OP4&amp;~OP3&amp;~OP2+</v>
      </c>
      <c r="AH19" s="41" t="str">
        <f>IF(真值表!AI19=1,$O19&amp;"+","")</f>
        <v>~F14&amp;~F13&amp;~F12&amp; OP6&amp; OP5&amp;~OP4&amp;~OP3&amp;~OP2+</v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5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>~F14&amp;~F13&amp; F12&amp; OP6&amp; OP5&amp;~OP4&amp;~OP3&amp;~OP2+</v>
      </c>
      <c r="R20" s="38" t="str">
        <f>IF(真值表!S20=1,$O20&amp;"+","")</f>
        <v>~F14&amp;~F13&amp; F12&amp; OP6&amp; OP5&amp;~OP4&amp;~OP3&amp;~OP2+</v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>~F14&amp;~F13&amp; F12&amp; OP6&amp; OP5&amp;~OP4&amp;~OP3&amp;~OP2+</v>
      </c>
      <c r="AH20" s="38" t="str">
        <f>IF(真值表!AI20=1,$O20&amp;"+","")</f>
        <v>~F14&amp;~F13&amp; F12&amp; OP6&amp; OP5&amp;~OP4&amp;~OP3&amp;~OP2+</v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5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5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>~F14&amp;~F13&amp;~F12&amp; OP6&amp; OP5&amp;~OP4&amp;~OP3&amp; OP2+</v>
      </c>
      <c r="S22" s="38" t="str">
        <f>IF(真值表!T22=1,$O22&amp;"+","")</f>
        <v/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>~F14&amp;~F13&amp;~F12&amp; OP6&amp; OP5&amp;~OP4&amp;~OP3&amp; OP2+</v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5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> F14&amp; F13&amp;~F12&amp; OP6&amp; OP5&amp; OP4&amp;~OP3&amp;~OP2+</v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5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> F14&amp; F13&amp; F12&amp; OP6&amp; OP5&amp; OP4&amp;~OP3&amp;~OP2+</v>
      </c>
      <c r="R24" s="38" t="str">
        <f>IF(真值表!S24=1,$O24&amp;"+","")</f>
        <v> F14&amp; F13&amp; F12&amp; OP6&amp; OP5&amp; OP4&amp;~OP3&amp;~OP2+</v>
      </c>
      <c r="S24" s="38" t="str">
        <f>IF(真值表!T24=1,$O24&amp;"+","")</f>
        <v> F14&amp; F13&amp; F12&amp; OP6&amp; OP5&amp; OP4&amp;~OP3&amp;~OP2+</v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5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/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5" spans="1:38">
      <c r="A26" s="23" t="str">
        <f>IF(ISBLANK(真值表!B26),"",真值表!B26)</f>
        <v>sra</v>
      </c>
      <c r="B26" s="24">
        <f>IF(ISBLANK(真值表!C26),"",真值表!C26)</f>
        <v>32</v>
      </c>
      <c r="C26" s="24">
        <f>IF(ISBLANK(真值表!D26),"",真值表!D26)</f>
        <v>5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 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 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 F30&amp;~F25&amp; 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> F30&amp;~F25&amp; F14&amp;~F13&amp; F12&amp;~OP6&amp; OP5&amp; OP4&amp;~OP3&amp;~OP2+</v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 F30&amp;~F25&amp; 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> F30&amp;~F25&amp; F14&amp;~F13&amp; F12&amp;~OP6&amp; OP5&amp; OP4&amp;~OP3&amp;~OP2+</v>
      </c>
      <c r="AH26" s="38" t="str">
        <f>IF(真值表!AI26=1,$O26&amp;"+","")</f>
        <v> F30&amp;~F25&amp; F14&amp;~F13&amp; F12&amp;~OP6&amp; OP5&amp; OP4&amp;~OP3&amp;~OP2+</v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5" spans="1:38">
      <c r="A27" s="27" t="str">
        <f>IF(ISBLANK(真值表!B27),"",真值表!B27)</f>
        <v>sltiu</v>
      </c>
      <c r="B27" s="28" t="str">
        <f>IF(ISBLANK(真值表!C27),"",真值表!C27)</f>
        <v/>
      </c>
      <c r="C27" s="29">
        <f>IF(ISBLANK(真值表!D27),"",真值表!D27)</f>
        <v>3</v>
      </c>
      <c r="D27" s="30">
        <f>IF(ISBLANK(真值表!E27),"",真值表!E27)</f>
        <v>4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>~F14&amp;</v>
      </c>
      <c r="H27" s="31" t="str">
        <f>IF(真值表!I27=1," "&amp;真值表!I$1&amp;"&amp;",IF(真值表!I27=0,"~"&amp;真值表!I$1&amp;"&amp;",""))</f>
        <v> F13&amp;</v>
      </c>
      <c r="I27" s="31" t="str">
        <f>IF(真值表!J27=1," "&amp;真值表!J$1&amp;"&amp;",IF(真值表!J27=0,"~"&amp;真值表!J$1&amp;"&amp;",""))</f>
        <v> F12&amp;</v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~OP5&amp;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~OP2&amp;</v>
      </c>
      <c r="O27" s="40" t="str">
        <f t="shared" si="1"/>
        <v>~F14&amp; F13&amp; F12&amp;~OP6&amp;~OP5&amp; OP4&amp;~OP3&amp;~OP2</v>
      </c>
      <c r="P27" s="41" t="str">
        <f>IF(真值表!Q27=1,$O27&amp;"+","")</f>
        <v>~F14&amp; F13&amp; F12&amp;~OP6&amp;~OP5&amp; OP4&amp;~OP3&amp;~OP2+</v>
      </c>
      <c r="Q27" s="41" t="str">
        <f>IF(真值表!R27=1,$O27&amp;"+","")</f>
        <v>~F14&amp; F13&amp; F12&amp;~OP6&amp;~OP5&amp; OP4&amp;~OP3&amp;~OP2+</v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>~F14&amp; F13&amp; F12&amp;~OP6&amp;~OP5&amp; OP4&amp;~OP3&amp;~OP2+</v>
      </c>
      <c r="W27" s="41" t="str">
        <f>IF(真值表!X27=1,$O27&amp;"+","")</f>
        <v>~F14&amp; F13&amp; F12&amp;~OP6&amp;~OP5&amp; OP4&amp;~OP3&amp;~OP2+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/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>~F14&amp; F13&amp; F12&amp;~OP6&amp;~OP5&amp; OP4&amp;~OP3&amp;~OP2+</v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5" spans="1:38">
      <c r="A28" s="23" t="str">
        <f>IF(ISBLANK(真值表!B28),"",真值表!B28)</f>
        <v>lhu</v>
      </c>
      <c r="B28" s="24" t="str">
        <f>IF(ISBLANK(真值表!C28),"",真值表!C28)</f>
        <v/>
      </c>
      <c r="C28" s="24">
        <f>IF(ISBLANK(真值表!D28),"",真值表!D28)</f>
        <v>5</v>
      </c>
      <c r="D28" s="25">
        <f>IF(ISBLANK(真值表!E28),"",真值表!E28)</f>
        <v>0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 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 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~OP5&amp;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 F14&amp;~F13&amp; F12&amp;~OP6&amp;~OP5&amp;~OP4&amp;~OP3&amp;~OP2</v>
      </c>
      <c r="P28" s="38" t="str">
        <f>IF(真值表!Q28=1,$O28&amp;"+","")</f>
        <v/>
      </c>
      <c r="Q28" s="38" t="str">
        <f>IF(真值表!R28=1,$O28&amp;"+","")</f>
        <v> F14&amp;~F13&amp; F12&amp;~OP6&amp;~OP5&amp;~OP4&amp;~OP3&amp;~OP2+</v>
      </c>
      <c r="R28" s="38" t="str">
        <f>IF(真值表!S28=1,$O28&amp;"+","")</f>
        <v/>
      </c>
      <c r="S28" s="38" t="str">
        <f>IF(真值表!T28=1,$O28&amp;"+","")</f>
        <v> F14&amp;~F13&amp; F12&amp;~OP6&amp;~OP5&amp;~OP4&amp;~OP3&amp;~OP2+</v>
      </c>
      <c r="T28" s="38" t="str">
        <f>IF(真值表!U28=1,$O28&amp;"+","")</f>
        <v> F14&amp;~F13&amp; F12&amp;~OP6&amp;~OP5&amp;~OP4&amp;~OP3&amp;~OP2+</v>
      </c>
      <c r="U28" s="38" t="str">
        <f>IF(真值表!V28=1,$O28&amp;"+","")</f>
        <v/>
      </c>
      <c r="V28" s="38" t="str">
        <f>IF(真值表!W28=1,$O28&amp;"+","")</f>
        <v> F14&amp;~F13&amp; F12&amp;~OP6&amp;~OP5&amp;~OP4&amp;~OP3&amp;~OP2+</v>
      </c>
      <c r="W28" s="38" t="str">
        <f>IF(真值表!X28=1,$O28&amp;"+","")</f>
        <v> F14&amp;~F13&amp; F12&amp;~OP6&amp;~OP5&amp;~OP4&amp;~OP3&amp;~OP2+</v>
      </c>
      <c r="X28" s="38" t="str">
        <f>IF(真值表!Y28=1,$O28&amp;"+","")</f>
        <v/>
      </c>
      <c r="Y28" s="38" t="str">
        <f>IF(真值表!Z28=1,$O28&amp;"+","")</f>
        <v/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> F14&amp;~F13&amp; F12&amp;~OP6&amp;~OP5&amp;~OP4&amp;~OP3&amp;~OP2+</v>
      </c>
      <c r="AE28" s="38" t="str">
        <f>IF(真值表!AF28=1,$O28&amp;"+","")</f>
        <v/>
      </c>
      <c r="AF28" s="38" t="str">
        <f>IF(真值表!AG28=1,$O28&amp;"+","")</f>
        <v/>
      </c>
      <c r="AG28" s="38" t="str">
        <f>IF(真值表!AH28=1,$O28&amp;"+","")</f>
        <v> F14&amp;~F13&amp; F12&amp;~OP6&amp;~OP5&amp;~OP4&amp;~OP3&amp;~OP2+</v>
      </c>
      <c r="AH28" s="38" t="str">
        <f>IF(真值表!AI28=1,$O28&amp;"+","")</f>
        <v/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5" spans="1:38">
      <c r="A29" s="27" t="str">
        <f>IF(ISBLANK(真值表!B29),"",真值表!B29)</f>
        <v>blt</v>
      </c>
      <c r="B29" s="28" t="str">
        <f>IF(ISBLANK(真值表!C29),"",真值表!C29)</f>
        <v/>
      </c>
      <c r="C29" s="29">
        <f>IF(ISBLANK(真值表!D29),"",真值表!D29)</f>
        <v>4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~F13&amp;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F14&amp;~F13&amp;~F12&amp; OP6&amp; OP5&amp;~OP4&amp;~OP3&amp;~OP2</v>
      </c>
      <c r="P29" s="41" t="str">
        <f>IF(真值表!Q29=1,$O29&amp;"+","")</f>
        <v> F14&amp;~F13&amp;~F12&amp; OP6&amp; OP5&amp;~OP4&amp;~OP3&amp;~OP2+</v>
      </c>
      <c r="Q29" s="41" t="str">
        <f>IF(真值表!R29=1,$O29&amp;"+","")</f>
        <v/>
      </c>
      <c r="R29" s="41" t="str">
        <f>IF(真值表!S29=1,$O29&amp;"+","")</f>
        <v> F14&amp;~F13&amp;~F12&amp; OP6&amp; OP5&amp;~OP4&amp;~OP3&amp;~OP2+</v>
      </c>
      <c r="S29" s="41" t="str">
        <f>IF(真值表!T29=1,$O29&amp;"+","")</f>
        <v> F14&amp;~F13&amp;~F12&amp; OP6&amp; OP5&amp;~OP4&amp;~OP3&amp;~OP2+</v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> F14&amp;~F13&amp;~F12&amp; OP6&amp; OP5&amp;~OP4&amp;~OP3&amp;~OP2+</v>
      </c>
      <c r="AF29" s="41" t="str">
        <f>IF(真值表!AG29=1,$O29&amp;"+","")</f>
        <v/>
      </c>
      <c r="AG29" s="41" t="str">
        <f>IF(真值表!AH29=1,$O29&amp;"+","")</f>
        <v> F14&amp;~F13&amp;~F12&amp; OP6&amp; OP5&amp;~OP4&amp;~OP3&amp;~OP2+</v>
      </c>
      <c r="AH29" s="41" t="str">
        <f>IF(真值表!AI29=1,$O29&amp;"+","")</f>
        <v> F14&amp;~F13&amp;~F12&amp; OP6&amp; OP5&amp;~OP4&amp;~OP3&amp;~OP2+</v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5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5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5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5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5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5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5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5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5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5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5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5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5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5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5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5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5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5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5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5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5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5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5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5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5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5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5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5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5" spans="1:38">
      <c r="A58" s="32" t="s">
        <v>67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OP4&amp;~OP3&amp;~OP2+~F14&amp; F13&amp; F12&amp;~OP6&amp;~OP5&amp; OP4&amp;~OP3&amp;~OP2+ F14&amp;~F13&amp;~F12&amp;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 F13&amp; F12&amp;~OP6&amp;~OP5&amp; OP4&amp;~OP3&amp;~OP2+ F14&amp;~F13&amp; F12&amp;~OP6&amp;~OP5&amp;~OP4&amp;~OP3&amp;~OP2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 F14&amp;~F13&amp;~F12&amp; OP6&amp; OP5&amp;~OP4&amp;~OP3&amp;~OP2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 F30&amp;~F25&amp; F14&amp;~F13&amp; F12&amp;~OP6&amp; OP5&amp; OP4&amp;~OP3&amp;~OP2+ F14&amp;~F13&amp; F12&amp;~OP6&amp;~OP5&amp;~OP4&amp;~OP3&amp;~OP2+ F14&amp;~F13&amp;~F12&amp; OP6&amp; OP5&amp;~OP4&amp;~OP3&amp;~OP2</v>
      </c>
      <c r="T58" s="43" t="str">
        <f t="shared" si="2"/>
        <v>~F14&amp; F13&amp;~F12&amp;~OP6&amp;~OP5&amp;~OP4&amp;~OP3&amp;~OP2+ F14&amp;~F13&amp; F12&amp;~OP6&amp;~OP5&amp;~OP4&amp;~OP3&amp;~OP2</v>
      </c>
      <c r="U58" s="43" t="str">
        <f t="shared" si="2"/>
        <v>~F14&amp; F13&amp;~F12&amp;~OP6&amp;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 F13&amp; F12&amp;~OP6&amp;~OP5&amp; OP4&amp;~OP3&amp;~OP2+ F14&amp;~F13&amp; F12&amp;~OP6&amp;~OP5&amp;~OP4&amp;~OP3&amp;~OP2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 F30&amp;~F25&amp; F14&amp;~F13&amp; F12&amp;~OP6&amp; OP5&amp; OP4&amp;~OP3&amp;~OP2+~F14&amp; F13&amp; F12&amp;~OP6&amp;~OP5&amp; OP4&amp;~OP3&amp;~OP2+ F14&amp;~F13&amp; F12&amp;~OP6&amp;~OP5&amp;~OP4&amp;~OP3&amp;~OP2</v>
      </c>
      <c r="X58" s="43" t="str">
        <f t="shared" si="2"/>
        <v>~F30&amp;~F25&amp;~F14&amp;~F13&amp;~F12&amp; OP6&amp; OP5&amp; OP4&amp;~OP3&amp;~OP2</v>
      </c>
      <c r="Y58" s="45" t="str">
        <f t="shared" si="2"/>
        <v>~F14&amp; F13&amp;~F12&amp;~OP6&amp;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> F14&amp;~F13&amp; F12&amp;~OP6&amp;~OP5&amp;~OP4&amp;~OP3&amp;~OP2</v>
      </c>
      <c r="AE58" s="48" t="str">
        <f t="shared" si="2"/>
        <v> F14&amp;~F13&amp;~F12&amp; OP6&amp; OP5&amp;~OP4&amp;~OP3&amp;~OP2</v>
      </c>
      <c r="AF58" s="43" t="str">
        <f t="shared" si="2"/>
        <v/>
      </c>
      <c r="AG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F30&amp;~F25&amp; F14&amp;~F13&amp; F12&amp;~OP6&amp; OP5&amp; OP4&amp;~OP3&amp;~OP2+~F14&amp; F13&amp; F12&amp;~OP6&amp;~OP5&amp; OP4&amp;~OP3&amp;~OP2+ F14&amp;~F13&amp; F12&amp;~OP6&amp;~OP5&amp;~OP4&amp;~OP3&amp;~OP2+ F14&amp;~F13&amp;~F12&amp; OP6&amp; OP5&amp;~OP4&amp;~OP3&amp;~OP2</v>
      </c>
      <c r="AH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 F30&amp;~F25&amp; F14&amp;~F13&amp; F12&amp;~OP6&amp; OP5&amp; OP4&amp;~OP3&amp;~OP2+ F14&amp;~F13&amp;~F12&amp; OP6&amp; OP5&amp;~OP4&amp;~OP3&amp;~OP2</v>
      </c>
      <c r="AI58" s="43" t="str">
        <f t="shared" si="2"/>
        <v/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OP4&amp;~OP3&amp;~OP2+~F14&amp; F13&amp; F12&amp;~OP6&amp;~OP5&amp; OP4&amp;~OP3&amp;~OP2+ F14&amp;~F13&amp;~F12&amp;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 F13&amp; F12&amp;~OP6&amp;~OP5&amp; OP4&amp;~OP3&amp;~OP2+ F14&amp;~F13&amp; F12&amp;~OP6&amp;~OP5&amp;~OP4&amp;~OP3&amp;~OP2+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 F14&amp;~F13&amp;~F12&amp;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 F30&amp;~F25&amp; F14&amp;~F13&amp; F12&amp;~OP6&amp; OP5&amp; OP4&amp;~OP3&amp;~OP2+ F14&amp;~F13&amp; F12&amp;~OP6&amp;~OP5&amp;~OP4&amp;~OP3&amp;~OP2+ F14&amp;~F13&amp;~F12&amp;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 F14&amp;~F13&amp; 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 F13&amp; F12&amp;~OP6&amp;~OP5&amp; OP4&amp;~OP3&amp;~OP2+ F14&amp;~F13&amp; F12&amp;~OP6&amp;~OP5&amp;~OP4&amp;~OP3&amp;~OP2+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 F30&amp;~F25&amp; F14&amp;~F13&amp; F12&amp;~OP6&amp; OP5&amp; OP4&amp;~OP3&amp;~OP2+~F14&amp; F13&amp; F12&amp;~OP6&amp;~OP5&amp; OP4&amp;~OP3&amp;~OP2+ F14&amp;~F13&amp; F12&amp;~OP6&amp;~OP5&amp;~OP4&amp;~OP3&amp;~OP2+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 F14&amp;~F13&amp; F12&amp;~OP6&amp;~OP5&amp;~OP4&amp;~OP3&amp;~OP2+</v>
      </c>
      <c r="AE59" t="str">
        <f t="shared" si="3"/>
        <v> F14&amp;~F13&amp;~F12&amp; OP6&amp; OP5&amp;~OP4&amp;~OP3&amp;~OP2+</v>
      </c>
      <c r="AF59" t="str">
        <f t="shared" si="3"/>
        <v/>
      </c>
      <c r="AG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F30&amp;~F25&amp; F14&amp;~F13&amp; F12&amp;~OP6&amp; OP5&amp; OP4&amp;~OP3&amp;~OP2+~F14&amp; F13&amp; F12&amp;~OP6&amp;~OP5&amp; OP4&amp;~OP3&amp;~OP2+ F14&amp;~F13&amp; F12&amp;~OP6&amp;~OP5&amp;~OP4&amp;~OP3&amp;~OP2+ F14&amp;~F13&amp;~F12&amp;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 F30&amp;~F25&amp; F14&amp;~F13&amp; F12&amp;~OP6&amp; OP5&amp; OP4&amp;~OP3&amp;~OP2+ F14&amp;~F13&amp;~F12&amp; OP6&amp; OP5&amp;~OP4&amp;~OP3&amp;~OP2+</v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5.75" spans="16:31">
      <c r="P61" s="44" t="s">
        <v>68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5.75" spans="17:17">
      <c r="Q63" s="46" t="s">
        <v>69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C9" sqref="C9"/>
    </sheetView>
  </sheetViews>
  <sheetFormatPr defaultColWidth="9" defaultRowHeight="13.85" outlineLevelCol="2"/>
  <cols>
    <col min="1" max="1" width="13.2477876106195" customWidth="1"/>
    <col min="2" max="2" width="11.5044247787611" customWidth="1"/>
    <col min="3" max="3" width="49.5840707964602" customWidth="1"/>
  </cols>
  <sheetData>
    <row r="1" ht="18" customHeight="1" spans="1:3">
      <c r="A1" s="8" t="s">
        <v>15</v>
      </c>
      <c r="B1" s="9" t="s">
        <v>70</v>
      </c>
      <c r="C1" s="10" t="s">
        <v>71</v>
      </c>
    </row>
    <row r="2" ht="18" customHeight="1" spans="1:3">
      <c r="A2" s="11" t="s">
        <v>72</v>
      </c>
      <c r="B2" s="12">
        <v>0</v>
      </c>
      <c r="C2" s="13" t="s">
        <v>73</v>
      </c>
    </row>
    <row r="3" ht="18" customHeight="1" spans="1:3">
      <c r="A3" s="11" t="s">
        <v>74</v>
      </c>
      <c r="B3" s="12">
        <v>1</v>
      </c>
      <c r="C3" s="13" t="s">
        <v>75</v>
      </c>
    </row>
    <row r="4" ht="18" customHeight="1" spans="1:3">
      <c r="A4" s="11" t="s">
        <v>76</v>
      </c>
      <c r="B4" s="12">
        <v>2</v>
      </c>
      <c r="C4" s="13" t="s">
        <v>77</v>
      </c>
    </row>
    <row r="5" ht="18" customHeight="1" spans="1:3">
      <c r="A5" s="11" t="s">
        <v>78</v>
      </c>
      <c r="B5" s="12">
        <v>3</v>
      </c>
      <c r="C5" s="13" t="s">
        <v>79</v>
      </c>
    </row>
    <row r="6" ht="18" customHeight="1" spans="1:3">
      <c r="A6" s="11" t="s">
        <v>80</v>
      </c>
      <c r="B6" s="12">
        <v>4</v>
      </c>
      <c r="C6" s="13" t="s">
        <v>81</v>
      </c>
    </row>
    <row r="7" ht="18" customHeight="1" spans="1:3">
      <c r="A7" s="11" t="s">
        <v>82</v>
      </c>
      <c r="B7" s="12">
        <v>5</v>
      </c>
      <c r="C7" s="13" t="s">
        <v>83</v>
      </c>
    </row>
    <row r="8" ht="18" customHeight="1" spans="1:3">
      <c r="A8" s="11" t="s">
        <v>84</v>
      </c>
      <c r="B8" s="12">
        <v>6</v>
      </c>
      <c r="C8" s="13" t="s">
        <v>85</v>
      </c>
    </row>
    <row r="9" ht="18" customHeight="1" spans="1:3">
      <c r="A9" s="11" t="s">
        <v>86</v>
      </c>
      <c r="B9" s="12">
        <v>7</v>
      </c>
      <c r="C9" s="13" t="s">
        <v>87</v>
      </c>
    </row>
    <row r="10" ht="18" customHeight="1" spans="1:3">
      <c r="A10" s="11">
        <v>1000</v>
      </c>
      <c r="B10" s="12">
        <v>8</v>
      </c>
      <c r="C10" s="13" t="s">
        <v>88</v>
      </c>
    </row>
    <row r="11" ht="18" customHeight="1" spans="1:3">
      <c r="A11" s="11">
        <v>1001</v>
      </c>
      <c r="B11" s="12">
        <v>9</v>
      </c>
      <c r="C11" s="13" t="s">
        <v>89</v>
      </c>
    </row>
    <row r="12" ht="18" customHeight="1" spans="1:3">
      <c r="A12" s="11">
        <v>1010</v>
      </c>
      <c r="B12" s="12">
        <v>10</v>
      </c>
      <c r="C12" s="13" t="s">
        <v>90</v>
      </c>
    </row>
    <row r="13" ht="18" customHeight="1" spans="1:3">
      <c r="A13" s="11">
        <v>1011</v>
      </c>
      <c r="B13" s="12">
        <v>11</v>
      </c>
      <c r="C13" s="13" t="s">
        <v>91</v>
      </c>
    </row>
    <row r="14" ht="18" customHeight="1" spans="1:3">
      <c r="A14" s="14">
        <v>1100</v>
      </c>
      <c r="B14" s="15">
        <v>12</v>
      </c>
      <c r="C14" s="16" t="s">
        <v>92</v>
      </c>
    </row>
    <row r="15" ht="14.6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G12" sqref="G12"/>
    </sheetView>
  </sheetViews>
  <sheetFormatPr defaultColWidth="9" defaultRowHeight="18" customHeight="1" outlineLevelCol="3"/>
  <cols>
    <col min="2" max="2" width="18.5044247787611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93</v>
      </c>
      <c r="C1" s="3" t="s">
        <v>94</v>
      </c>
      <c r="D1" s="3" t="s">
        <v>95</v>
      </c>
    </row>
    <row r="2" s="1" customFormat="1" ht="20.15" customHeight="1" spans="1:4">
      <c r="A2" s="4">
        <v>1</v>
      </c>
      <c r="B2" s="5" t="s">
        <v>23</v>
      </c>
      <c r="C2" s="5" t="s">
        <v>96</v>
      </c>
      <c r="D2" s="5" t="s">
        <v>97</v>
      </c>
    </row>
    <row r="3" s="1" customFormat="1" ht="20.15" customHeight="1" spans="1:4">
      <c r="A3" s="6">
        <v>2</v>
      </c>
      <c r="B3" s="7" t="s">
        <v>21</v>
      </c>
      <c r="C3" s="7" t="s">
        <v>98</v>
      </c>
      <c r="D3" s="7" t="s">
        <v>99</v>
      </c>
    </row>
    <row r="4" s="1" customFormat="1" ht="20.15" customHeight="1" spans="1:4">
      <c r="A4" s="4">
        <v>3</v>
      </c>
      <c r="B4" s="5" t="s">
        <v>100</v>
      </c>
      <c r="C4" s="5" t="s">
        <v>101</v>
      </c>
      <c r="D4" s="5" t="s">
        <v>102</v>
      </c>
    </row>
    <row r="5" s="1" customFormat="1" ht="20.15" customHeight="1" spans="1:4">
      <c r="A5" s="6">
        <v>4</v>
      </c>
      <c r="B5" s="7" t="s">
        <v>103</v>
      </c>
      <c r="C5" s="7" t="s">
        <v>104</v>
      </c>
      <c r="D5" s="7" t="s">
        <v>105</v>
      </c>
    </row>
    <row r="6" s="1" customFormat="1" ht="20.15" customHeight="1" spans="1:4">
      <c r="A6" s="4">
        <v>5</v>
      </c>
      <c r="B6" s="5" t="s">
        <v>25</v>
      </c>
      <c r="C6" s="5" t="s">
        <v>106</v>
      </c>
      <c r="D6" s="5" t="s">
        <v>107</v>
      </c>
    </row>
    <row r="7" s="1" customFormat="1" ht="20.15" customHeight="1" spans="1:4">
      <c r="A7" s="6">
        <v>6</v>
      </c>
      <c r="B7" s="7" t="s">
        <v>108</v>
      </c>
      <c r="C7" s="7" t="s">
        <v>109</v>
      </c>
      <c r="D7" s="7" t="s">
        <v>110</v>
      </c>
    </row>
    <row r="8" s="1" customFormat="1" ht="20.15" customHeight="1" spans="1:4">
      <c r="A8" s="4">
        <v>7</v>
      </c>
      <c r="B8" s="5" t="s">
        <v>29</v>
      </c>
      <c r="C8" s="5" t="s">
        <v>111</v>
      </c>
      <c r="D8" s="5" t="s">
        <v>112</v>
      </c>
    </row>
    <row r="9" s="1" customFormat="1" ht="20.15" customHeight="1" spans="1:4">
      <c r="A9" s="6">
        <v>8</v>
      </c>
      <c r="B9" s="7" t="s">
        <v>28</v>
      </c>
      <c r="C9" s="7" t="s">
        <v>113</v>
      </c>
      <c r="D9" s="7" t="s">
        <v>114</v>
      </c>
    </row>
    <row r="10" s="1" customFormat="1" ht="20.15" customHeight="1" spans="1:4">
      <c r="A10" s="4">
        <v>9</v>
      </c>
      <c r="B10" s="5" t="s">
        <v>115</v>
      </c>
      <c r="C10" s="5" t="s">
        <v>116</v>
      </c>
      <c r="D10" s="5" t="s">
        <v>117</v>
      </c>
    </row>
    <row r="11" s="1" customFormat="1" ht="20.15" customHeight="1" spans="1:4">
      <c r="A11" s="6">
        <v>10</v>
      </c>
      <c r="B11" s="7" t="s">
        <v>118</v>
      </c>
      <c r="C11" s="7" t="s">
        <v>119</v>
      </c>
      <c r="D11" s="7" t="s">
        <v>120</v>
      </c>
    </row>
    <row r="12" s="1" customFormat="1" ht="66.5" customHeight="1" spans="1:4">
      <c r="A12" s="4">
        <v>11</v>
      </c>
      <c r="B12" s="5" t="s">
        <v>24</v>
      </c>
      <c r="C12" s="5" t="s">
        <v>121</v>
      </c>
      <c r="D12" s="5" t="s">
        <v>122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王家乐</cp:lastModifiedBy>
  <dcterms:created xsi:type="dcterms:W3CDTF">2015-06-05T18:19:00Z</dcterms:created>
  <dcterms:modified xsi:type="dcterms:W3CDTF">2025-09-09T02:16:01Z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310EB8C3B1EB423B95EE607327D87163_12</vt:lpwstr>
  </property>
</Properties>
</file>